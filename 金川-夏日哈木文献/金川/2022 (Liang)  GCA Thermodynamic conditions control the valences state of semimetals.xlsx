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45" windowHeight="12255"/>
  </bookViews>
  <sheets>
    <sheet name="Table S1" sheetId="11" r:id="rId1"/>
    <sheet name="Table S2" sheetId="1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<sst xmlns="http://schemas.openxmlformats.org/spreadsheetml/2006/main" count="2387" uniqueCount="286">
  <si>
    <t>Thermodynamic conditions control the valences state of semimetals thus affecting the behavior of PGE in magmatic sulfide liquids</t>
  </si>
  <si>
    <t>By Liang et al.</t>
  </si>
  <si>
    <t>Table S1. Whole-rock concentrations of S, metals and semimetals of the Jinchuan and Noril’sk sulfide ores.</t>
  </si>
  <si>
    <t>Deposit</t>
  </si>
  <si>
    <t>Intrusion</t>
  </si>
  <si>
    <t>Mine</t>
  </si>
  <si>
    <t>Sample ID</t>
  </si>
  <si>
    <t>Ore type</t>
  </si>
  <si>
    <t>Whole-rock data source</t>
  </si>
  <si>
    <r>
      <rPr>
        <b/>
        <i/>
        <sz val="10"/>
        <rFont val="Arial"/>
        <charset val="134"/>
      </rPr>
      <t>In situ</t>
    </r>
    <r>
      <rPr>
        <b/>
        <sz val="10"/>
        <rFont val="Arial"/>
        <charset val="134"/>
      </rPr>
      <t xml:space="preserve"> studies</t>
    </r>
  </si>
  <si>
    <t>S</t>
  </si>
  <si>
    <t>Ni</t>
  </si>
  <si>
    <t>Cu</t>
  </si>
  <si>
    <t>Co</t>
  </si>
  <si>
    <t>Re</t>
  </si>
  <si>
    <t>Os</t>
  </si>
  <si>
    <t>Ir</t>
  </si>
  <si>
    <t>Ru</t>
  </si>
  <si>
    <t>Rh</t>
  </si>
  <si>
    <t>Pt</t>
  </si>
  <si>
    <t>Pd</t>
  </si>
  <si>
    <t>As</t>
  </si>
  <si>
    <t>Se</t>
  </si>
  <si>
    <t>Sn</t>
  </si>
  <si>
    <t>Sb</t>
  </si>
  <si>
    <t>Te</t>
  </si>
  <si>
    <t>Bi</t>
  </si>
  <si>
    <t>Ni/Cu</t>
  </si>
  <si>
    <t>Pd/Ru</t>
  </si>
  <si>
    <t>Ni/(Ir*1000)</t>
  </si>
  <si>
    <t>wt%</t>
  </si>
  <si>
    <t>ppm</t>
  </si>
  <si>
    <t>ppb</t>
  </si>
  <si>
    <t>Noril'sk</t>
  </si>
  <si>
    <t>Kharaelakh</t>
  </si>
  <si>
    <t>Gluboklj</t>
  </si>
  <si>
    <t>KZ1879 1785.5</t>
  </si>
  <si>
    <t>Disseminated sulfides</t>
  </si>
  <si>
    <t>Zientek et al. 1994</t>
  </si>
  <si>
    <t>n.a</t>
  </si>
  <si>
    <t>KZ1879 1757</t>
  </si>
  <si>
    <t>KZ1879 1768.5B</t>
  </si>
  <si>
    <t>KZ1879 1752.5</t>
  </si>
  <si>
    <t>KZ1879 1763.1</t>
  </si>
  <si>
    <t>KZ1879 1773.0</t>
  </si>
  <si>
    <t>KZ1879 1767.9</t>
  </si>
  <si>
    <t>KZ1879 1761.0</t>
  </si>
  <si>
    <t>KZ1879 1777.4</t>
  </si>
  <si>
    <t>Oktyabr'sky</t>
  </si>
  <si>
    <t>RN-92</t>
  </si>
  <si>
    <t>this time</t>
  </si>
  <si>
    <t>KZ868 860.2</t>
  </si>
  <si>
    <t>KZ868 858.1</t>
  </si>
  <si>
    <t>KZ868 890*</t>
  </si>
  <si>
    <t>KZ868 890</t>
  </si>
  <si>
    <t>KZ868 863.8</t>
  </si>
  <si>
    <t>KZ868 842.7</t>
  </si>
  <si>
    <t>90OC1</t>
  </si>
  <si>
    <t>90OC11</t>
  </si>
  <si>
    <t>Talnakh</t>
  </si>
  <si>
    <t>Komsolmolsky</t>
  </si>
  <si>
    <t>90KC3</t>
  </si>
  <si>
    <t>Skalisty</t>
  </si>
  <si>
    <t>RN-69</t>
  </si>
  <si>
    <t>Skallsty</t>
  </si>
  <si>
    <t>KZ1799 1341.9</t>
  </si>
  <si>
    <t>KZ1799 1182.9</t>
  </si>
  <si>
    <t>KZ1713 886.5</t>
  </si>
  <si>
    <t>KZ1799 1205.2</t>
  </si>
  <si>
    <t>KZ1799 1321.55</t>
  </si>
  <si>
    <t>KZ1713 883.8</t>
  </si>
  <si>
    <t>KZ1713 910.5</t>
  </si>
  <si>
    <t>KZ1713 922.9</t>
  </si>
  <si>
    <t>KZ1713 902.8</t>
  </si>
  <si>
    <t>KZ1799 1338.5</t>
  </si>
  <si>
    <t>KZ1879 1808</t>
  </si>
  <si>
    <t>Cu-poor massive sulfides</t>
  </si>
  <si>
    <t>KZ1879 1807.7</t>
  </si>
  <si>
    <t>KZ1879 1802.5</t>
  </si>
  <si>
    <t>RN-90</t>
  </si>
  <si>
    <t>&lt;0.5</t>
  </si>
  <si>
    <t>RN-94</t>
  </si>
  <si>
    <t>&lt;2</t>
  </si>
  <si>
    <t>RN-97</t>
  </si>
  <si>
    <t>KZ868 892.4</t>
  </si>
  <si>
    <t>KZ868 898</t>
  </si>
  <si>
    <t>KZ868 903.1</t>
  </si>
  <si>
    <t>KZ868 901.5</t>
  </si>
  <si>
    <t>KZ868 899.1</t>
  </si>
  <si>
    <t>KZ868 908.5</t>
  </si>
  <si>
    <t>KZ868 907.5</t>
  </si>
  <si>
    <t>KZ868 911.4</t>
  </si>
  <si>
    <t>KZ868 918</t>
  </si>
  <si>
    <t>KZ868 914</t>
  </si>
  <si>
    <t>KZ868 914.9</t>
  </si>
  <si>
    <t>90OMZS2-1</t>
  </si>
  <si>
    <t>90OMZS2-3</t>
  </si>
  <si>
    <t>Duran et al. 2017</t>
  </si>
  <si>
    <t>&lt; 0.06</t>
  </si>
  <si>
    <t>Taimyrsky</t>
  </si>
  <si>
    <t>RN-32</t>
  </si>
  <si>
    <t>Yes</t>
  </si>
  <si>
    <t>RN-33</t>
  </si>
  <si>
    <t>RN-37</t>
  </si>
  <si>
    <t>90KC1</t>
  </si>
  <si>
    <t>90KMZ5</t>
  </si>
  <si>
    <t>RN-61</t>
  </si>
  <si>
    <t>RN-63</t>
  </si>
  <si>
    <t>RN-65</t>
  </si>
  <si>
    <t>KZ1799 1343</t>
  </si>
  <si>
    <t>KZ1713 931.3</t>
  </si>
  <si>
    <t>KZ1713 928.1</t>
  </si>
  <si>
    <t>KZ1799 1347.9</t>
  </si>
  <si>
    <t>KZ1799 1351</t>
  </si>
  <si>
    <t>KZ1713 934.6</t>
  </si>
  <si>
    <t>KZ1879 1800.2</t>
  </si>
  <si>
    <t>KZ1879 1805</t>
  </si>
  <si>
    <t>KZ868 920.8</t>
  </si>
  <si>
    <t>90OC12</t>
  </si>
  <si>
    <t>KZ868 912.6</t>
  </si>
  <si>
    <t>KZ868 923</t>
  </si>
  <si>
    <t>90OC10</t>
  </si>
  <si>
    <t>90OC3</t>
  </si>
  <si>
    <t>90OC6B</t>
  </si>
  <si>
    <t>KZ868 919</t>
  </si>
  <si>
    <t>90OMZS1-4</t>
  </si>
  <si>
    <t>90OC4</t>
  </si>
  <si>
    <t>90OMZS2-2</t>
  </si>
  <si>
    <t>Taymyrsky</t>
  </si>
  <si>
    <t>NR-13</t>
  </si>
  <si>
    <t>NR-14</t>
  </si>
  <si>
    <t>NR12</t>
  </si>
  <si>
    <t>&gt; 200</t>
  </si>
  <si>
    <t>RN-84</t>
  </si>
  <si>
    <t>Cu-rich net-textured sulfides</t>
  </si>
  <si>
    <t>RN-87</t>
  </si>
  <si>
    <t>KC2=90OC29</t>
  </si>
  <si>
    <t>Cu-rich massive sulfides</t>
  </si>
  <si>
    <t>90OC6A</t>
  </si>
  <si>
    <t>90OC8</t>
  </si>
  <si>
    <t>90OC2</t>
  </si>
  <si>
    <t>90OC13</t>
  </si>
  <si>
    <t>90OMZS1-3</t>
  </si>
  <si>
    <t>90OMZ67-5-1</t>
  </si>
  <si>
    <t>NR17</t>
  </si>
  <si>
    <t>NR18</t>
  </si>
  <si>
    <t>KZ868 898.4</t>
  </si>
  <si>
    <t>90OC5</t>
  </si>
  <si>
    <t>90OC14</t>
  </si>
  <si>
    <t>90OC9</t>
  </si>
  <si>
    <t>90OMZS1-1</t>
  </si>
  <si>
    <t>NR15</t>
  </si>
  <si>
    <t>90KC2</t>
  </si>
  <si>
    <t>Jinchuan</t>
  </si>
  <si>
    <t>Segment I</t>
  </si>
  <si>
    <t>No. 24</t>
  </si>
  <si>
    <t>JC06-238</t>
  </si>
  <si>
    <t>Chen et al. 2013</t>
  </si>
  <si>
    <t>JC06-239</t>
  </si>
  <si>
    <t>JC06-230</t>
  </si>
  <si>
    <t>JC06-240</t>
  </si>
  <si>
    <t>JC06-232</t>
  </si>
  <si>
    <t>JC06-233</t>
  </si>
  <si>
    <t>JC06-229</t>
  </si>
  <si>
    <t>JC06-224</t>
  </si>
  <si>
    <t>JC06-226</t>
  </si>
  <si>
    <t>JC06-225</t>
  </si>
  <si>
    <t>JC06-231</t>
  </si>
  <si>
    <t>JC06-204</t>
  </si>
  <si>
    <t>ZK59-25</t>
  </si>
  <si>
    <t>ZK59-24</t>
  </si>
  <si>
    <t>ZK59-23</t>
  </si>
  <si>
    <t>ZK59-22</t>
  </si>
  <si>
    <t>ZK59-21</t>
  </si>
  <si>
    <t>ZK59-20</t>
  </si>
  <si>
    <t>ZK59-201</t>
  </si>
  <si>
    <t>ZK59-10</t>
  </si>
  <si>
    <t>ZK59-18</t>
  </si>
  <si>
    <t>ZK59-17</t>
  </si>
  <si>
    <t>ZK59-15</t>
  </si>
  <si>
    <t>ZK59-12</t>
  </si>
  <si>
    <t>ZK59-13</t>
  </si>
  <si>
    <t>ZK59-16</t>
  </si>
  <si>
    <t>ZK59-19</t>
  </si>
  <si>
    <t>JC06-812</t>
  </si>
  <si>
    <t>n.d.</t>
  </si>
  <si>
    <t>JC06-813</t>
  </si>
  <si>
    <t>JC06-814</t>
  </si>
  <si>
    <t>JC06-815</t>
  </si>
  <si>
    <t>JC06-821</t>
  </si>
  <si>
    <t>JC06-822</t>
  </si>
  <si>
    <t>JC06-823</t>
  </si>
  <si>
    <t>I24-7</t>
  </si>
  <si>
    <t>Segment III</t>
  </si>
  <si>
    <t>III6-B1</t>
  </si>
  <si>
    <t>This time</t>
  </si>
  <si>
    <t>III6-B9</t>
  </si>
  <si>
    <t>III6-B20</t>
  </si>
  <si>
    <t>III6-B33</t>
  </si>
  <si>
    <t>III6-B43</t>
  </si>
  <si>
    <t>I24-1</t>
  </si>
  <si>
    <t>Cu-poor Net-textured sulfides</t>
  </si>
  <si>
    <t>I24-2</t>
  </si>
  <si>
    <t>I24-3</t>
  </si>
  <si>
    <t>I24-4</t>
  </si>
  <si>
    <t>I24-5</t>
  </si>
  <si>
    <t>I24-6</t>
  </si>
  <si>
    <t>I 16-E10</t>
  </si>
  <si>
    <t>I 11-E1</t>
  </si>
  <si>
    <t>I 11-E4</t>
  </si>
  <si>
    <t>I 11-E7</t>
  </si>
  <si>
    <t>I 11-E10</t>
  </si>
  <si>
    <t>I 15-A1</t>
  </si>
  <si>
    <t>I 16-E12</t>
  </si>
  <si>
    <t>I 24-A2</t>
  </si>
  <si>
    <t>III7-B1</t>
  </si>
  <si>
    <t>JC06-801</t>
  </si>
  <si>
    <t>JC06-802</t>
  </si>
  <si>
    <t>JC06-803</t>
  </si>
  <si>
    <t>JC06-804</t>
  </si>
  <si>
    <t>JC06-806</t>
  </si>
  <si>
    <t>JC06-807</t>
  </si>
  <si>
    <t>JC06-808</t>
  </si>
  <si>
    <t>JC06-809</t>
  </si>
  <si>
    <t>JC06-811</t>
  </si>
  <si>
    <t>JC06-818</t>
  </si>
  <si>
    <t>L07-1</t>
  </si>
  <si>
    <t>L07-2</t>
  </si>
  <si>
    <t>L07-3</t>
  </si>
  <si>
    <t>L07-4</t>
  </si>
  <si>
    <t>L07-5</t>
  </si>
  <si>
    <t>L07-6</t>
  </si>
  <si>
    <t>L07-7</t>
  </si>
  <si>
    <t>L07-9</t>
  </si>
  <si>
    <t>L07-10</t>
  </si>
  <si>
    <t>L07-11</t>
  </si>
  <si>
    <t>L07-12</t>
  </si>
  <si>
    <t>L07-13</t>
  </si>
  <si>
    <t>L07-14</t>
  </si>
  <si>
    <t>I 24-A5</t>
  </si>
  <si>
    <t>I 6-8-C7</t>
  </si>
  <si>
    <t>I 6-8-C9</t>
  </si>
  <si>
    <t>I 6-8-C11</t>
  </si>
  <si>
    <t>I 6-8-C15</t>
  </si>
  <si>
    <r>
      <rPr>
        <sz val="10"/>
        <color theme="1"/>
        <rFont val="Arial"/>
        <charset val="134"/>
      </rPr>
      <t xml:space="preserve">Data sources for the Jinchuan deposit: this study and </t>
    </r>
    <r>
      <rPr>
        <sz val="10"/>
        <color rgb="FF0070C0"/>
        <rFont val="Arial"/>
        <charset val="134"/>
      </rPr>
      <t>Chen et al. (2013)</t>
    </r>
    <r>
      <rPr>
        <sz val="10"/>
        <color theme="1"/>
        <rFont val="Arial"/>
        <charset val="134"/>
      </rPr>
      <t xml:space="preserve">, data source for the Noril’sk deposits: this study, </t>
    </r>
    <r>
      <rPr>
        <sz val="10"/>
        <color rgb="FF0070C0"/>
        <rFont val="Arial"/>
        <charset val="134"/>
      </rPr>
      <t>Duran et al. (2017)</t>
    </r>
    <r>
      <rPr>
        <sz val="10"/>
        <color theme="1"/>
        <rFont val="Arial"/>
        <charset val="134"/>
      </rPr>
      <t xml:space="preserve"> and </t>
    </r>
    <r>
      <rPr>
        <sz val="10"/>
        <color rgb="FF0070C0"/>
        <rFont val="Arial"/>
        <charset val="134"/>
      </rPr>
      <t>Zientek et al. (1994).</t>
    </r>
  </si>
  <si>
    <t>References</t>
  </si>
  <si>
    <r>
      <rPr>
        <sz val="10"/>
        <color theme="1"/>
        <rFont val="Arial"/>
        <charset val="134"/>
      </rPr>
      <t xml:space="preserve">Chen L.M., Song X.Y., Keays R.R., Tian Y.L., Wang Y.S., Deng Y.F. and Xiao J.F. (2013) Segregation and Fractionation of Magmatic Ni-Cu-PGE Sulfides in the Western Jinchuan Intrusion, Northwestern China: Insights from Platinum-group Element Geochemistry. </t>
    </r>
    <r>
      <rPr>
        <i/>
        <sz val="10"/>
        <color theme="1"/>
        <rFont val="Arial"/>
        <charset val="134"/>
      </rPr>
      <t>Econ. Geol.</t>
    </r>
    <r>
      <rPr>
        <sz val="10"/>
        <color theme="1"/>
        <rFont val="Arial"/>
        <charset val="134"/>
      </rPr>
      <t xml:space="preserve"> </t>
    </r>
    <r>
      <rPr>
        <b/>
        <sz val="10"/>
        <color theme="1"/>
        <rFont val="Arial"/>
        <charset val="134"/>
      </rPr>
      <t>108</t>
    </r>
    <r>
      <rPr>
        <sz val="10"/>
        <color theme="1"/>
        <rFont val="Arial"/>
        <charset val="134"/>
      </rPr>
      <t>, 1793-1811.</t>
    </r>
  </si>
  <si>
    <r>
      <rPr>
        <sz val="10"/>
        <color theme="1"/>
        <rFont val="Arial"/>
        <charset val="134"/>
      </rPr>
      <t xml:space="preserve">Duran C.J., Barnes S.J., Pleše P., Prašek M.K., Zientek M.L. and Pagé P. (2017) Fractional crystallization-induced variations in sulfides from the Noril’sk-Talnakh mining district (polar Siberia, Russia). </t>
    </r>
    <r>
      <rPr>
        <i/>
        <sz val="10"/>
        <color theme="1"/>
        <rFont val="Arial"/>
        <charset val="134"/>
      </rPr>
      <t>Ore Geol. Rev.</t>
    </r>
    <r>
      <rPr>
        <sz val="10"/>
        <color theme="1"/>
        <rFont val="Arial"/>
        <charset val="134"/>
      </rPr>
      <t xml:space="preserve"> </t>
    </r>
    <r>
      <rPr>
        <b/>
        <sz val="10"/>
        <color theme="1"/>
        <rFont val="Arial"/>
        <charset val="134"/>
      </rPr>
      <t>90</t>
    </r>
    <r>
      <rPr>
        <sz val="10"/>
        <color theme="1"/>
        <rFont val="Arial"/>
        <charset val="134"/>
      </rPr>
      <t>, 326-351.</t>
    </r>
  </si>
  <si>
    <r>
      <rPr>
        <sz val="10"/>
        <color theme="1"/>
        <rFont val="Arial"/>
        <charset val="134"/>
      </rPr>
      <t xml:space="preserve">Zientek M.L., Likhachev A.P., Kunilov V.E., Barnes S.J., Meier A.L., Carlson R.R., Briggs P.H., Fries T.L., Adrian B.M. and Lightfoot P.C. (1994) Cumulus processes and the composition of magmatic ore deposits: examples from the Talnakh District, Russia. In </t>
    </r>
    <r>
      <rPr>
        <i/>
        <sz val="10"/>
        <color theme="1"/>
        <rFont val="Arial"/>
        <charset val="134"/>
      </rPr>
      <t>Proceedings of the Sudbury-Noril’sk Symposium Special volume</t>
    </r>
    <r>
      <rPr>
        <sz val="10"/>
        <color theme="1"/>
        <rFont val="Arial"/>
        <charset val="134"/>
      </rPr>
      <t xml:space="preserve"> (eds. Lightfoot P.C. and Naldrett. A.J.). Ministry of Northern Development and Mines, Ontario. pp. 373-392.</t>
    </r>
  </si>
  <si>
    <t>Table S2. LA-ICPMS results for the metals and semimetals in pyrrhotite (Po), pentlandite (Pn) and chalcopyrite (Ccp) of the massive ores (MS) from the Jinchuan deposit and Noril'sk deposits</t>
  </si>
  <si>
    <t>Sample No.</t>
  </si>
  <si>
    <t>Mineral</t>
  </si>
  <si>
    <t>Spot</t>
  </si>
  <si>
    <t>59Co</t>
  </si>
  <si>
    <t>60Ni</t>
  </si>
  <si>
    <t>63Cu</t>
  </si>
  <si>
    <t>66Zn</t>
  </si>
  <si>
    <t>185Re</t>
  </si>
  <si>
    <t>189Os</t>
  </si>
  <si>
    <t>193Ir</t>
  </si>
  <si>
    <t>103Rh</t>
  </si>
  <si>
    <t>195Pt</t>
  </si>
  <si>
    <t>197Au</t>
  </si>
  <si>
    <t>109Ag</t>
  </si>
  <si>
    <t>111Cd</t>
  </si>
  <si>
    <t>75As</t>
  </si>
  <si>
    <t>77Se</t>
  </si>
  <si>
    <t>118Sn</t>
  </si>
  <si>
    <t>121Sb</t>
  </si>
  <si>
    <t>125Te</t>
  </si>
  <si>
    <t>209Bi</t>
  </si>
  <si>
    <t>206Pb</t>
  </si>
  <si>
    <t>D.L.</t>
  </si>
  <si>
    <t>MS</t>
  </si>
  <si>
    <t>Pyrrhotite</t>
  </si>
  <si>
    <t>Pentlandite</t>
  </si>
  <si>
    <t>Chalcopyrite</t>
  </si>
  <si>
    <t>Rn32</t>
  </si>
  <si>
    <t>Po</t>
  </si>
  <si>
    <t>Rn33</t>
  </si>
  <si>
    <t>Rn61</t>
  </si>
  <si>
    <t>Rn63</t>
  </si>
  <si>
    <t>Rn65</t>
  </si>
  <si>
    <t>Pn</t>
  </si>
  <si>
    <t>Ccp</t>
  </si>
  <si>
    <t>Note: Red font indicates half detection limit. Orange highlight indicates outliers which were not used in mass balance calculation and not plotted in Fig 4.</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</si>
</sst>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 numFmtId="178" formatCode="0.000_ "/>
  </numFmts>
  <fonts count="35">
    <font>
      <sz val="11"/>
      <color theme="1"/>
      <name val="Arial"/>
      <charset val="134"/>
    </font>
    <font>
      <sz val="10"/>
      <color theme="1"/>
      <name val="Arial"/>
      <charset val="134"/>
    </font>
    <font>
      <b/>
      <sz val="12"/>
      <color theme="1"/>
      <name val="Arial"/>
      <charset val="134"/>
    </font>
    <font>
      <sz val="11"/>
      <color rgb="FF000000"/>
      <name val="Arial"/>
      <charset val="134"/>
    </font>
    <font>
      <sz val="10"/>
      <name val="Arial"/>
      <charset val="134"/>
    </font>
    <font>
      <i/>
      <sz val="10"/>
      <name val="Arial"/>
      <charset val="134"/>
    </font>
    <font>
      <sz val="10"/>
      <color rgb="FFFF0000"/>
      <name val="Arial"/>
      <charset val="134"/>
    </font>
    <font>
      <sz val="11"/>
      <name val="Arial"/>
      <charset val="134"/>
    </font>
    <font>
      <b/>
      <sz val="10"/>
      <name val="Arial"/>
      <charset val="134"/>
    </font>
    <font>
      <b/>
      <i/>
      <sz val="1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theme="1"/>
      <name val="Times New Roman"/>
      <charset val="134"/>
    </font>
    <font>
      <sz val="11"/>
      <color theme="1"/>
      <name val="等线"/>
      <charset val="134"/>
      <scheme val="minor"/>
    </font>
    <font>
      <i/>
      <sz val="10"/>
      <color theme="1"/>
      <name val="Arial"/>
      <charset val="134"/>
    </font>
    <font>
      <b/>
      <sz val="10"/>
      <color theme="1"/>
      <name val="Arial"/>
      <charset val="134"/>
    </font>
    <font>
      <sz val="10"/>
      <color rgb="FF0070C0"/>
      <name val="Arial"/>
      <charset val="134"/>
    </font>
  </fonts>
  <fills count="37">
    <fill>
      <patternFill patternType="none"/>
    </fill>
    <fill>
      <patternFill patternType="gray125"/>
    </fill>
    <fill>
      <patternFill patternType="solid">
        <fgColor rgb="FFFFC000"/>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5"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7" borderId="8" applyNumberFormat="0" applyAlignment="0" applyProtection="0">
      <alignment vertical="center"/>
    </xf>
    <xf numFmtId="0" fontId="20" fillId="8" borderId="9" applyNumberFormat="0" applyAlignment="0" applyProtection="0">
      <alignment vertical="center"/>
    </xf>
    <xf numFmtId="0" fontId="21" fillId="8" borderId="8" applyNumberFormat="0" applyAlignment="0" applyProtection="0">
      <alignment vertical="center"/>
    </xf>
    <xf numFmtId="0" fontId="22" fillId="9" borderId="10" applyNumberFormat="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30" fillId="0" borderId="0">
      <alignment vertical="center"/>
    </xf>
    <xf numFmtId="0" fontId="31" fillId="0" borderId="0"/>
    <xf numFmtId="0" fontId="31" fillId="0" borderId="0"/>
  </cellStyleXfs>
  <cellXfs count="86">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0" fillId="0" borderId="1" xfId="0" applyBorder="1">
      <alignment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 fontId="4" fillId="0" borderId="2" xfId="0" applyNumberFormat="1" applyFont="1" applyBorder="1" applyAlignment="1">
      <alignment horizontal="center" vertical="center"/>
    </xf>
    <xf numFmtId="176" fontId="4" fillId="0" borderId="2" xfId="0" applyNumberFormat="1" applyFont="1" applyBorder="1" applyAlignment="1">
      <alignment horizontal="center" vertical="center"/>
    </xf>
    <xf numFmtId="1" fontId="4" fillId="0" borderId="0" xfId="0" applyNumberFormat="1" applyFont="1" applyAlignment="1">
      <alignment horizontal="center" vertical="center"/>
    </xf>
    <xf numFmtId="176" fontId="4" fillId="0" borderId="0" xfId="0" applyNumberFormat="1" applyFont="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center" vertical="center"/>
    </xf>
    <xf numFmtId="2" fontId="4" fillId="0" borderId="2" xfId="0" applyNumberFormat="1" applyFont="1" applyBorder="1" applyAlignment="1">
      <alignment horizontal="center" vertical="center"/>
    </xf>
    <xf numFmtId="2" fontId="4" fillId="0" borderId="0" xfId="0" applyNumberFormat="1" applyFont="1" applyAlignment="1">
      <alignment horizontal="center" vertical="center"/>
    </xf>
    <xf numFmtId="1" fontId="4" fillId="2" borderId="0" xfId="0" applyNumberFormat="1" applyFont="1" applyFill="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177" fontId="4" fillId="0" borderId="2" xfId="0" applyNumberFormat="1" applyFont="1" applyBorder="1" applyAlignment="1">
      <alignment horizontal="center" vertical="center"/>
    </xf>
    <xf numFmtId="2" fontId="6" fillId="0" borderId="2" xfId="0" applyNumberFormat="1" applyFont="1" applyBorder="1" applyAlignment="1">
      <alignment horizontal="center" vertical="center"/>
    </xf>
    <xf numFmtId="177" fontId="4" fillId="2" borderId="0" xfId="0" applyNumberFormat="1" applyFont="1" applyFill="1" applyAlignment="1">
      <alignment horizontal="center" vertical="center"/>
    </xf>
    <xf numFmtId="2" fontId="6" fillId="0" borderId="0" xfId="0" applyNumberFormat="1" applyFont="1" applyAlignment="1">
      <alignment horizontal="center" vertical="center"/>
    </xf>
    <xf numFmtId="177" fontId="4" fillId="0" borderId="0" xfId="0" applyNumberFormat="1" applyFont="1" applyAlignment="1">
      <alignment horizontal="center" vertical="center"/>
    </xf>
    <xf numFmtId="2" fontId="4" fillId="2" borderId="0" xfId="0" applyNumberFormat="1" applyFont="1" applyFill="1" applyAlignment="1">
      <alignment horizontal="center" vertical="center"/>
    </xf>
    <xf numFmtId="0" fontId="4" fillId="0" borderId="3" xfId="0" applyFont="1" applyBorder="1" applyAlignment="1">
      <alignment horizontal="center" vertical="center"/>
    </xf>
    <xf numFmtId="1" fontId="4" fillId="0" borderId="3" xfId="0" applyNumberFormat="1" applyFont="1" applyBorder="1" applyAlignment="1">
      <alignment horizontal="center" vertical="center"/>
    </xf>
    <xf numFmtId="0" fontId="4" fillId="0" borderId="4" xfId="0" applyFont="1" applyBorder="1" applyAlignment="1">
      <alignment horizontal="center" vertical="center"/>
    </xf>
    <xf numFmtId="1" fontId="4" fillId="0" borderId="4" xfId="0" applyNumberFormat="1" applyFont="1" applyBorder="1" applyAlignment="1">
      <alignment horizontal="center" vertical="center"/>
    </xf>
    <xf numFmtId="0" fontId="4" fillId="3" borderId="0" xfId="0" applyFont="1" applyFill="1" applyAlignment="1">
      <alignment horizontal="center" vertical="center"/>
    </xf>
    <xf numFmtId="178" fontId="4" fillId="3" borderId="0" xfId="0" applyNumberFormat="1" applyFont="1" applyFill="1" applyAlignment="1">
      <alignment horizontal="center" vertical="center"/>
    </xf>
    <xf numFmtId="2" fontId="4" fillId="0" borderId="4" xfId="0" applyNumberFormat="1" applyFont="1" applyBorder="1" applyAlignment="1">
      <alignment horizontal="center" vertical="center"/>
    </xf>
    <xf numFmtId="177" fontId="4" fillId="0" borderId="3" xfId="0" applyNumberFormat="1" applyFont="1" applyBorder="1" applyAlignment="1">
      <alignment horizontal="center" vertical="center"/>
    </xf>
    <xf numFmtId="2" fontId="4" fillId="0" borderId="3" xfId="0" applyNumberFormat="1" applyFont="1" applyBorder="1" applyAlignment="1">
      <alignment horizontal="center" vertical="center"/>
    </xf>
    <xf numFmtId="2" fontId="6" fillId="0" borderId="3" xfId="0" applyNumberFormat="1" applyFont="1" applyBorder="1" applyAlignment="1">
      <alignment horizontal="center" vertical="center"/>
    </xf>
    <xf numFmtId="177" fontId="4" fillId="0" borderId="4" xfId="0" applyNumberFormat="1" applyFont="1" applyBorder="1" applyAlignment="1">
      <alignment horizontal="center" vertical="center"/>
    </xf>
    <xf numFmtId="2" fontId="6" fillId="0" borderId="4" xfId="0" applyNumberFormat="1" applyFont="1" applyBorder="1" applyAlignment="1">
      <alignment horizontal="center" vertical="center"/>
    </xf>
    <xf numFmtId="1" fontId="4" fillId="3" borderId="0" xfId="0" applyNumberFormat="1" applyFont="1" applyFill="1" applyAlignment="1">
      <alignment horizontal="center" vertical="center"/>
    </xf>
    <xf numFmtId="1" fontId="4" fillId="0" borderId="1" xfId="0" applyNumberFormat="1" applyFont="1" applyBorder="1" applyAlignment="1">
      <alignment horizontal="center" vertical="center"/>
    </xf>
    <xf numFmtId="0" fontId="7" fillId="0" borderId="0" xfId="0" applyFont="1">
      <alignment vertical="center"/>
    </xf>
    <xf numFmtId="177" fontId="4"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0" fontId="0" fillId="2" borderId="0" xfId="0" applyFill="1">
      <alignment vertical="center"/>
    </xf>
    <xf numFmtId="0" fontId="0" fillId="4" borderId="0" xfId="0" applyFill="1">
      <alignment vertical="center"/>
    </xf>
    <xf numFmtId="0" fontId="0" fillId="5" borderId="0" xfId="0" applyFill="1">
      <alignment vertical="center"/>
    </xf>
    <xf numFmtId="0" fontId="3" fillId="0" borderId="1" xfId="0" applyFont="1" applyBorder="1">
      <alignment vertical="center"/>
    </xf>
    <xf numFmtId="0" fontId="8" fillId="0" borderId="0" xfId="0" applyFont="1" applyAlignment="1">
      <alignment horizontal="center" vertical="center"/>
    </xf>
    <xf numFmtId="0" fontId="9" fillId="0" borderId="1" xfId="0" applyFont="1" applyBorder="1" applyAlignment="1">
      <alignment horizontal="center" vertical="center"/>
    </xf>
    <xf numFmtId="0" fontId="6" fillId="0" borderId="0" xfId="0" applyFont="1" applyAlignment="1">
      <alignment horizontal="center" vertical="center"/>
    </xf>
    <xf numFmtId="2" fontId="4" fillId="0" borderId="0" xfId="0" applyNumberFormat="1" applyFont="1" applyAlignment="1">
      <alignment horizontal="center" vertical="center" wrapText="1"/>
    </xf>
    <xf numFmtId="0" fontId="6" fillId="0" borderId="0" xfId="0" applyFont="1" applyAlignment="1">
      <alignment horizontal="center" vertical="center" wrapText="1"/>
    </xf>
    <xf numFmtId="176" fontId="4" fillId="0" borderId="0" xfId="0" applyNumberFormat="1" applyFont="1" applyAlignment="1">
      <alignment horizontal="center" vertical="center" wrapText="1"/>
    </xf>
    <xf numFmtId="1" fontId="4" fillId="0" borderId="0" xfId="0" applyNumberFormat="1" applyFont="1" applyAlignment="1">
      <alignment horizontal="center" vertical="center" wrapText="1"/>
    </xf>
    <xf numFmtId="2" fontId="4" fillId="0" borderId="0" xfId="50" applyNumberFormat="1" applyFont="1" applyAlignment="1">
      <alignment horizontal="center" vertical="center"/>
    </xf>
    <xf numFmtId="1" fontId="4" fillId="0" borderId="0" xfId="50" applyNumberFormat="1" applyFont="1" applyAlignment="1">
      <alignment horizontal="center" vertical="center"/>
    </xf>
    <xf numFmtId="176" fontId="4" fillId="0" borderId="0" xfId="50" applyNumberFormat="1" applyFont="1" applyAlignment="1">
      <alignment horizontal="center" vertical="center"/>
    </xf>
    <xf numFmtId="1" fontId="1" fillId="0" borderId="0" xfId="0" applyNumberFormat="1" applyFont="1" applyAlignment="1">
      <alignment horizontal="center" vertical="center"/>
    </xf>
    <xf numFmtId="1" fontId="4" fillId="0" borderId="0" xfId="49" applyNumberFormat="1" applyFont="1" applyAlignment="1">
      <alignment horizontal="center" vertical="top" wrapText="1"/>
    </xf>
    <xf numFmtId="176" fontId="4" fillId="0" borderId="3" xfId="0" applyNumberFormat="1" applyFont="1" applyBorder="1" applyAlignment="1">
      <alignment horizontal="center" vertical="center"/>
    </xf>
    <xf numFmtId="1" fontId="1" fillId="0" borderId="3" xfId="0" applyNumberFormat="1" applyFont="1" applyBorder="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vertical="center"/>
    </xf>
    <xf numFmtId="0" fontId="4" fillId="4" borderId="0" xfId="0" applyFont="1" applyFill="1" applyAlignment="1">
      <alignment horizontal="center" vertical="center"/>
    </xf>
    <xf numFmtId="0" fontId="6" fillId="4" borderId="0" xfId="0" applyFont="1" applyFill="1" applyAlignment="1">
      <alignment horizontal="center" vertical="center"/>
    </xf>
    <xf numFmtId="0" fontId="6" fillId="2" borderId="0" xfId="0" applyFont="1" applyFill="1" applyAlignment="1">
      <alignment horizontal="center" vertical="center" wrapText="1"/>
    </xf>
    <xf numFmtId="0" fontId="4" fillId="5" borderId="0" xfId="0" applyFont="1" applyFill="1" applyAlignment="1">
      <alignment horizontal="center" vertical="center"/>
    </xf>
    <xf numFmtId="0" fontId="6" fillId="5" borderId="0" xfId="0" applyFont="1" applyFill="1" applyAlignment="1">
      <alignment horizontal="center" vertical="center"/>
    </xf>
    <xf numFmtId="0" fontId="4" fillId="5"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0" borderId="0" xfId="0" applyFont="1" applyAlignment="1">
      <alignment horizontal="left" vertical="center"/>
    </xf>
    <xf numFmtId="1" fontId="4" fillId="4" borderId="0" xfId="0" applyNumberFormat="1" applyFont="1" applyFill="1" applyAlignment="1">
      <alignment horizontal="center" vertical="center"/>
    </xf>
    <xf numFmtId="1" fontId="4" fillId="5" borderId="0" xfId="0" applyNumberFormat="1" applyFont="1" applyFill="1" applyAlignment="1">
      <alignment horizontal="center" vertical="center"/>
    </xf>
    <xf numFmtId="1" fontId="4" fillId="5" borderId="1" xfId="0" applyNumberFormat="1" applyFont="1" applyFill="1" applyBorder="1" applyAlignment="1">
      <alignment horizontal="center" vertical="center"/>
    </xf>
    <xf numFmtId="1" fontId="4" fillId="2" borderId="0" xfId="0" applyNumberFormat="1" applyFont="1" applyFill="1" applyAlignment="1">
      <alignment horizontal="center" vertical="center" wrapText="1"/>
    </xf>
    <xf numFmtId="2" fontId="4" fillId="2" borderId="0" xfId="0" applyNumberFormat="1" applyFont="1" applyFill="1" applyAlignment="1">
      <alignment horizontal="center" vertical="center" wrapText="1"/>
    </xf>
    <xf numFmtId="1" fontId="1" fillId="2" borderId="0" xfId="0" applyNumberFormat="1" applyFont="1" applyFill="1" applyAlignment="1">
      <alignment horizontal="center" vertical="center"/>
    </xf>
    <xf numFmtId="176" fontId="4" fillId="4" borderId="0" xfId="0" applyNumberFormat="1" applyFont="1" applyFill="1" applyAlignment="1">
      <alignment horizontal="center" vertical="center"/>
    </xf>
    <xf numFmtId="1" fontId="1" fillId="4" borderId="0" xfId="0" applyNumberFormat="1" applyFont="1" applyFill="1" applyAlignment="1">
      <alignment horizontal="center" vertical="center"/>
    </xf>
    <xf numFmtId="176" fontId="4"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76" fontId="4" fillId="5" borderId="1" xfId="0" applyNumberFormat="1" applyFont="1" applyFill="1" applyBorder="1" applyAlignment="1">
      <alignment horizontal="center" vertical="center"/>
    </xf>
    <xf numFmtId="1" fontId="1" fillId="5" borderId="1" xfId="0" applyNumberFormat="1" applyFont="1" applyFill="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4" xfId="50"/>
    <cellStyle name="常规 6" xfId="5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'Table S1'!$Q$149:$Q$167</c:f>
              <c:numCache>
                <c:formatCode>0</c:formatCode>
                <c:ptCount val="19"/>
                <c:pt idx="0">
                  <c:v>29.3</c:v>
                </c:pt>
                <c:pt idx="1">
                  <c:v>38.2</c:v>
                </c:pt>
                <c:pt idx="2">
                  <c:v>578.4</c:v>
                </c:pt>
                <c:pt idx="3">
                  <c:v>66.4</c:v>
                </c:pt>
                <c:pt idx="4">
                  <c:v>22.3</c:v>
                </c:pt>
                <c:pt idx="5">
                  <c:v>115.6</c:v>
                </c:pt>
                <c:pt idx="6">
                  <c:v>225.2</c:v>
                </c:pt>
                <c:pt idx="7">
                  <c:v>58.3</c:v>
                </c:pt>
                <c:pt idx="8">
                  <c:v>634.5</c:v>
                </c:pt>
                <c:pt idx="9">
                  <c:v>60.9</c:v>
                </c:pt>
                <c:pt idx="10">
                  <c:v>102</c:v>
                </c:pt>
                <c:pt idx="11">
                  <c:v>83.8</c:v>
                </c:pt>
                <c:pt idx="12">
                  <c:v>35.8</c:v>
                </c:pt>
                <c:pt idx="13">
                  <c:v>59.6</c:v>
                </c:pt>
                <c:pt idx="14">
                  <c:v>12.8</c:v>
                </c:pt>
                <c:pt idx="15">
                  <c:v>41.7</c:v>
                </c:pt>
                <c:pt idx="16">
                  <c:v>11.6</c:v>
                </c:pt>
                <c:pt idx="17">
                  <c:v>53.3</c:v>
                </c:pt>
                <c:pt idx="18">
                  <c:v>30.3</c:v>
                </c:pt>
              </c:numCache>
            </c:numRef>
          </c:xVal>
          <c:yVal>
            <c:numRef>
              <c:f>'Table S1'!$S$149:$S$167</c:f>
              <c:numCache>
                <c:formatCode>General</c:formatCode>
                <c:ptCount val="19"/>
                <c:pt idx="0">
                  <c:v>2.3</c:v>
                </c:pt>
                <c:pt idx="1">
                  <c:v>3</c:v>
                </c:pt>
                <c:pt idx="2">
                  <c:v>7.7</c:v>
                </c:pt>
                <c:pt idx="3">
                  <c:v>5.9</c:v>
                </c:pt>
                <c:pt idx="4">
                  <c:v>2.2</c:v>
                </c:pt>
                <c:pt idx="5">
                  <c:v>1.7</c:v>
                </c:pt>
                <c:pt idx="6">
                  <c:v>1.1</c:v>
                </c:pt>
                <c:pt idx="7">
                  <c:v>2.4</c:v>
                </c:pt>
                <c:pt idx="8">
                  <c:v>2.9</c:v>
                </c:pt>
                <c:pt idx="9">
                  <c:v>4.9</c:v>
                </c:pt>
                <c:pt idx="10">
                  <c:v>3.9</c:v>
                </c:pt>
                <c:pt idx="11">
                  <c:v>5.6</c:v>
                </c:pt>
                <c:pt idx="12">
                  <c:v>5.4</c:v>
                </c:pt>
                <c:pt idx="13">
                  <c:v>4.8</c:v>
                </c:pt>
                <c:pt idx="14">
                  <c:v>3.6</c:v>
                </c:pt>
                <c:pt idx="15">
                  <c:v>3.7</c:v>
                </c:pt>
                <c:pt idx="16">
                  <c:v>3.5</c:v>
                </c:pt>
                <c:pt idx="17">
                  <c:v>4.7</c:v>
                </c:pt>
                <c:pt idx="18">
                  <c:v>9</c:v>
                </c:pt>
              </c:numCache>
            </c:numRef>
          </c:yVal>
          <c:smooth val="0"/>
        </c:ser>
        <c:dLbls>
          <c:showLegendKey val="0"/>
          <c:showVal val="0"/>
          <c:showCatName val="0"/>
          <c:showSerName val="0"/>
          <c:showPercent val="0"/>
          <c:showBubbleSize val="0"/>
        </c:dLbls>
        <c:axId val="849572876"/>
        <c:axId val="416216905"/>
      </c:scatterChart>
      <c:valAx>
        <c:axId val="849572876"/>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6216905"/>
        <c:crosses val="autoZero"/>
        <c:crossBetween val="midCat"/>
      </c:valAx>
      <c:valAx>
        <c:axId val="41621690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9572876"/>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75789473684211"/>
          <c:y val="0.0405092592592593"/>
          <c:w val="0.895578947368421"/>
          <c:h val="0.846157407407407"/>
        </c:manualLayout>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'Table S1'!$Q$149:$Q$167</c:f>
              <c:numCache>
                <c:formatCode>0</c:formatCode>
                <c:ptCount val="19"/>
                <c:pt idx="0">
                  <c:v>29.3</c:v>
                </c:pt>
                <c:pt idx="1">
                  <c:v>38.2</c:v>
                </c:pt>
                <c:pt idx="2">
                  <c:v>578.4</c:v>
                </c:pt>
                <c:pt idx="3">
                  <c:v>66.4</c:v>
                </c:pt>
                <c:pt idx="4">
                  <c:v>22.3</c:v>
                </c:pt>
                <c:pt idx="5">
                  <c:v>115.6</c:v>
                </c:pt>
                <c:pt idx="6">
                  <c:v>225.2</c:v>
                </c:pt>
                <c:pt idx="7">
                  <c:v>58.3</c:v>
                </c:pt>
                <c:pt idx="8">
                  <c:v>634.5</c:v>
                </c:pt>
                <c:pt idx="9">
                  <c:v>60.9</c:v>
                </c:pt>
                <c:pt idx="10">
                  <c:v>102</c:v>
                </c:pt>
                <c:pt idx="11">
                  <c:v>83.8</c:v>
                </c:pt>
                <c:pt idx="12">
                  <c:v>35.8</c:v>
                </c:pt>
                <c:pt idx="13">
                  <c:v>59.6</c:v>
                </c:pt>
                <c:pt idx="14">
                  <c:v>12.8</c:v>
                </c:pt>
                <c:pt idx="15">
                  <c:v>41.7</c:v>
                </c:pt>
                <c:pt idx="16">
                  <c:v>11.6</c:v>
                </c:pt>
                <c:pt idx="17">
                  <c:v>53.3</c:v>
                </c:pt>
                <c:pt idx="18">
                  <c:v>30.3</c:v>
                </c:pt>
              </c:numCache>
            </c:numRef>
          </c:xVal>
          <c:yVal>
            <c:numRef>
              <c:f>'Table S1'!$W$149:$W$167</c:f>
              <c:numCache>
                <c:formatCode>General</c:formatCode>
                <c:ptCount val="19"/>
                <c:pt idx="0">
                  <c:v>3.77</c:v>
                </c:pt>
                <c:pt idx="1">
                  <c:v>2.46</c:v>
                </c:pt>
                <c:pt idx="2">
                  <c:v>2.2</c:v>
                </c:pt>
                <c:pt idx="3">
                  <c:v>2.46</c:v>
                </c:pt>
                <c:pt idx="4">
                  <c:v>2.03</c:v>
                </c:pt>
                <c:pt idx="5">
                  <c:v>4.02</c:v>
                </c:pt>
                <c:pt idx="6">
                  <c:v>1.52</c:v>
                </c:pt>
                <c:pt idx="7">
                  <c:v>0</c:v>
                </c:pt>
                <c:pt idx="8">
                  <c:v>3.22</c:v>
                </c:pt>
                <c:pt idx="9">
                  <c:v>2.71</c:v>
                </c:pt>
                <c:pt idx="10">
                  <c:v>5.07</c:v>
                </c:pt>
                <c:pt idx="11">
                  <c:v>1.98</c:v>
                </c:pt>
                <c:pt idx="12">
                  <c:v>1.79</c:v>
                </c:pt>
                <c:pt idx="13">
                  <c:v>2.68</c:v>
                </c:pt>
                <c:pt idx="14">
                  <c:v>1.75</c:v>
                </c:pt>
                <c:pt idx="15">
                  <c:v>2.15</c:v>
                </c:pt>
                <c:pt idx="16">
                  <c:v>2.46</c:v>
                </c:pt>
                <c:pt idx="17">
                  <c:v>1.96</c:v>
                </c:pt>
                <c:pt idx="18">
                  <c:v>2.38</c:v>
                </c:pt>
              </c:numCache>
            </c:numRef>
          </c:yVal>
          <c:smooth val="0"/>
        </c:ser>
        <c:ser>
          <c:idx val="1"/>
          <c:order val="1"/>
          <c:tx>
            <c:strRef>
              <c:f>"2"</c:f>
              <c:strCache>
                <c:ptCount val="1"/>
                <c:pt idx="0">
                  <c:v>2</c:v>
                </c:pt>
              </c:strCache>
            </c:strRef>
          </c:tx>
          <c:spPr>
            <a:ln w="19050" cap="rnd">
              <a:solidFill>
                <a:srgbClr val="C00000"/>
              </a:solidFill>
              <a:round/>
            </a:ln>
            <a:effectLst/>
          </c:spPr>
          <c:marker>
            <c:symbol val="circle"/>
            <c:size val="5"/>
            <c:spPr>
              <a:solidFill>
                <a:srgbClr val="C00000"/>
              </a:solidFill>
              <a:ln w="9525">
                <a:solidFill>
                  <a:schemeClr val="accent2"/>
                </a:solidFill>
              </a:ln>
              <a:effectLst/>
            </c:spPr>
          </c:marker>
          <c:dLbls>
            <c:delete val="1"/>
          </c:dLbls>
          <c:xVal>
            <c:numRef>
              <c:f>'Table S1'!$A$199:$A$203</c:f>
              <c:numCache>
                <c:formatCode>General</c:formatCode>
                <c:ptCount val="5"/>
                <c:pt idx="0">
                  <c:v>0.0825</c:v>
                </c:pt>
                <c:pt idx="1">
                  <c:v>0.825</c:v>
                </c:pt>
                <c:pt idx="2">
                  <c:v>8.25</c:v>
                </c:pt>
                <c:pt idx="3">
                  <c:v>82.5</c:v>
                </c:pt>
                <c:pt idx="4">
                  <c:v>825</c:v>
                </c:pt>
              </c:numCache>
            </c:numRef>
          </c:xVal>
          <c:yVal>
            <c:numRef>
              <c:f>'Table S1'!$B$199:$B$203</c:f>
              <c:numCache>
                <c:formatCode>General</c:formatCode>
                <c:ptCount val="5"/>
                <c:pt idx="0">
                  <c:v>0.1</c:v>
                </c:pt>
                <c:pt idx="1">
                  <c:v>1</c:v>
                </c:pt>
                <c:pt idx="2">
                  <c:v>10</c:v>
                </c:pt>
                <c:pt idx="3">
                  <c:v>100</c:v>
                </c:pt>
                <c:pt idx="4">
                  <c:v>1000</c:v>
                </c:pt>
              </c:numCache>
            </c:numRef>
          </c:yVal>
          <c:smooth val="0"/>
        </c:ser>
        <c:dLbls>
          <c:showLegendKey val="0"/>
          <c:showVal val="0"/>
          <c:showCatName val="0"/>
          <c:showSerName val="0"/>
          <c:showPercent val="0"/>
          <c:showBubbleSize val="0"/>
        </c:dLbls>
        <c:axId val="734607253"/>
        <c:axId val="197832067"/>
      </c:scatterChart>
      <c:valAx>
        <c:axId val="734607253"/>
        <c:scaling>
          <c:logBase val="10"/>
          <c:orientation val="minMax"/>
          <c:min val="0.1"/>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ltLang="zh-CN"/>
                  <a:t>Pt</a:t>
                </a:r>
                <a:endParaRPr lang="en-US" altLang="zh-CN"/>
              </a:p>
            </c:rich>
          </c:tx>
          <c:layout>
            <c:manualLayout>
              <c:xMode val="edge"/>
              <c:yMode val="edge"/>
              <c:x val="0.498789473684211"/>
              <c:y val="0.924074074074074"/>
            </c:manualLayout>
          </c:layout>
          <c:overlay val="0"/>
          <c:spPr>
            <a:noFill/>
            <a:ln>
              <a:noFill/>
            </a:ln>
            <a:effectLst/>
          </c:sp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97832067"/>
        <c:crosses val="autoZero"/>
        <c:crossBetween val="midCat"/>
      </c:valAx>
      <c:valAx>
        <c:axId val="197832067"/>
        <c:scaling>
          <c:logBase val="10"/>
          <c:orientation val="minMax"/>
          <c:max val="100"/>
          <c:min val="0.01"/>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ltLang="zh-CN"/>
                  <a:t>Te</a:t>
                </a:r>
                <a:endParaRPr lang="en-US" altLang="zh-CN"/>
              </a:p>
            </c:rich>
          </c:tx>
          <c:layout/>
          <c:overlay val="0"/>
          <c:spPr>
            <a:noFill/>
            <a:ln>
              <a:noFill/>
            </a:ln>
            <a:effectLst/>
          </c:sp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34607253"/>
        <c:crosses val="autoZero"/>
        <c:crossBetween val="midCat"/>
      </c:valAx>
      <c:spPr>
        <a:noFill/>
        <a:ln w="9525" cap="flat" cmpd="sng" algn="ctr">
          <a:solidFill>
            <a:schemeClr val="tx1">
              <a:lumMod val="15000"/>
              <a:lumOff val="85000"/>
            </a:schemeClr>
          </a:solidFill>
          <a:round/>
        </a:ln>
        <a:effectLst/>
      </c:spPr>
    </c:plotArea>
    <c:legend>
      <c:legendPos val="b"/>
      <c:layout>
        <c:manualLayout>
          <c:xMode val="edge"/>
          <c:yMode val="edge"/>
          <c:x val="0.863486842105263"/>
          <c:y val="0.057870370370370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'Table S1'!$Q$149:$Q$167</c:f>
              <c:numCache>
                <c:formatCode>0</c:formatCode>
                <c:ptCount val="19"/>
                <c:pt idx="0">
                  <c:v>29.3</c:v>
                </c:pt>
                <c:pt idx="1">
                  <c:v>38.2</c:v>
                </c:pt>
                <c:pt idx="2">
                  <c:v>578.4</c:v>
                </c:pt>
                <c:pt idx="3">
                  <c:v>66.4</c:v>
                </c:pt>
                <c:pt idx="4">
                  <c:v>22.3</c:v>
                </c:pt>
                <c:pt idx="5">
                  <c:v>115.6</c:v>
                </c:pt>
                <c:pt idx="6">
                  <c:v>225.2</c:v>
                </c:pt>
                <c:pt idx="7">
                  <c:v>58.3</c:v>
                </c:pt>
                <c:pt idx="8">
                  <c:v>634.5</c:v>
                </c:pt>
                <c:pt idx="9">
                  <c:v>60.9</c:v>
                </c:pt>
                <c:pt idx="10">
                  <c:v>102</c:v>
                </c:pt>
                <c:pt idx="11">
                  <c:v>83.8</c:v>
                </c:pt>
                <c:pt idx="12">
                  <c:v>35.8</c:v>
                </c:pt>
                <c:pt idx="13">
                  <c:v>59.6</c:v>
                </c:pt>
                <c:pt idx="14">
                  <c:v>12.8</c:v>
                </c:pt>
                <c:pt idx="15">
                  <c:v>41.7</c:v>
                </c:pt>
                <c:pt idx="16">
                  <c:v>11.6</c:v>
                </c:pt>
                <c:pt idx="17">
                  <c:v>53.3</c:v>
                </c:pt>
                <c:pt idx="18">
                  <c:v>30.3</c:v>
                </c:pt>
              </c:numCache>
            </c:numRef>
          </c:xVal>
          <c:yVal>
            <c:numRef>
              <c:f>'Table S1'!$X$149:$X$167</c:f>
              <c:numCache>
                <c:formatCode>General</c:formatCode>
                <c:ptCount val="19"/>
                <c:pt idx="0">
                  <c:v>1.72</c:v>
                </c:pt>
                <c:pt idx="1">
                  <c:v>0.79</c:v>
                </c:pt>
                <c:pt idx="2">
                  <c:v>0.95</c:v>
                </c:pt>
                <c:pt idx="3">
                  <c:v>0.84</c:v>
                </c:pt>
                <c:pt idx="4">
                  <c:v>0.77</c:v>
                </c:pt>
                <c:pt idx="5">
                  <c:v>3.27</c:v>
                </c:pt>
                <c:pt idx="6">
                  <c:v>0.73</c:v>
                </c:pt>
                <c:pt idx="7">
                  <c:v>1.68</c:v>
                </c:pt>
                <c:pt idx="8">
                  <c:v>2.21</c:v>
                </c:pt>
                <c:pt idx="9">
                  <c:v>3.89</c:v>
                </c:pt>
                <c:pt idx="10">
                  <c:v>1.49</c:v>
                </c:pt>
                <c:pt idx="11">
                  <c:v>2.06</c:v>
                </c:pt>
                <c:pt idx="12">
                  <c:v>1.43</c:v>
                </c:pt>
                <c:pt idx="13">
                  <c:v>3.39</c:v>
                </c:pt>
                <c:pt idx="14">
                  <c:v>1.58</c:v>
                </c:pt>
                <c:pt idx="15">
                  <c:v>1.7</c:v>
                </c:pt>
                <c:pt idx="16">
                  <c:v>2.34</c:v>
                </c:pt>
                <c:pt idx="17">
                  <c:v>0.88</c:v>
                </c:pt>
                <c:pt idx="18">
                  <c:v>2.72</c:v>
                </c:pt>
              </c:numCache>
            </c:numRef>
          </c:yVal>
          <c:smooth val="0"/>
        </c:ser>
        <c:dLbls>
          <c:showLegendKey val="0"/>
          <c:showVal val="0"/>
          <c:showCatName val="0"/>
          <c:showSerName val="0"/>
          <c:showPercent val="0"/>
          <c:showBubbleSize val="0"/>
        </c:dLbls>
        <c:axId val="890696985"/>
        <c:axId val="936209314"/>
      </c:scatterChart>
      <c:valAx>
        <c:axId val="890696985"/>
        <c:scaling>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36209314"/>
        <c:crosses val="autoZero"/>
        <c:crossBetween val="midCat"/>
      </c:valAx>
      <c:valAx>
        <c:axId val="93620931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0696985"/>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trendlineLbl>
          </c:trendline>
          <c:xVal>
            <c:numRef>
              <c:f>'Table S1'!$Q$168:$Q$185</c:f>
              <c:numCache>
                <c:formatCode>0</c:formatCode>
                <c:ptCount val="18"/>
                <c:pt idx="0">
                  <c:v>889</c:v>
                </c:pt>
                <c:pt idx="1">
                  <c:v>20.3</c:v>
                </c:pt>
                <c:pt idx="2">
                  <c:v>90.3</c:v>
                </c:pt>
                <c:pt idx="3">
                  <c:v>64.3</c:v>
                </c:pt>
                <c:pt idx="4">
                  <c:v>144</c:v>
                </c:pt>
                <c:pt idx="5">
                  <c:v>47</c:v>
                </c:pt>
                <c:pt idx="6">
                  <c:v>70.1</c:v>
                </c:pt>
                <c:pt idx="7">
                  <c:v>1758</c:v>
                </c:pt>
                <c:pt idx="8">
                  <c:v>165.2</c:v>
                </c:pt>
                <c:pt idx="9">
                  <c:v>118</c:v>
                </c:pt>
                <c:pt idx="10">
                  <c:v>103</c:v>
                </c:pt>
                <c:pt idx="11">
                  <c:v>62.1</c:v>
                </c:pt>
                <c:pt idx="12">
                  <c:v>12.7</c:v>
                </c:pt>
                <c:pt idx="13">
                  <c:v>8774</c:v>
                </c:pt>
                <c:pt idx="14">
                  <c:v>50440</c:v>
                </c:pt>
                <c:pt idx="15">
                  <c:v>68067</c:v>
                </c:pt>
                <c:pt idx="16">
                  <c:v>14103</c:v>
                </c:pt>
                <c:pt idx="17">
                  <c:v>3974</c:v>
                </c:pt>
              </c:numCache>
            </c:numRef>
          </c:xVal>
          <c:yVal>
            <c:numRef>
              <c:f>'Table S1'!$W$168:$W$185</c:f>
              <c:numCache>
                <c:formatCode>General</c:formatCode>
                <c:ptCount val="18"/>
                <c:pt idx="0">
                  <c:v>20.4</c:v>
                </c:pt>
                <c:pt idx="1">
                  <c:v>24.4</c:v>
                </c:pt>
                <c:pt idx="2">
                  <c:v>13.3</c:v>
                </c:pt>
                <c:pt idx="3">
                  <c:v>10.8</c:v>
                </c:pt>
                <c:pt idx="4">
                  <c:v>7.43</c:v>
                </c:pt>
                <c:pt idx="5">
                  <c:v>3.96</c:v>
                </c:pt>
                <c:pt idx="6">
                  <c:v>3.36</c:v>
                </c:pt>
                <c:pt idx="7">
                  <c:v>11.8</c:v>
                </c:pt>
                <c:pt idx="8">
                  <c:v>2.79</c:v>
                </c:pt>
                <c:pt idx="9">
                  <c:v>2.35</c:v>
                </c:pt>
                <c:pt idx="10">
                  <c:v>5.14</c:v>
                </c:pt>
                <c:pt idx="11">
                  <c:v>9.6</c:v>
                </c:pt>
                <c:pt idx="12">
                  <c:v>6.44</c:v>
                </c:pt>
                <c:pt idx="13">
                  <c:v>0</c:v>
                </c:pt>
                <c:pt idx="14">
                  <c:v>63.2</c:v>
                </c:pt>
                <c:pt idx="15">
                  <c:v>124</c:v>
                </c:pt>
                <c:pt idx="16">
                  <c:v>62</c:v>
                </c:pt>
                <c:pt idx="17">
                  <c:v>22.1</c:v>
                </c:pt>
              </c:numCache>
            </c:numRef>
          </c:yVal>
          <c:smooth val="0"/>
        </c:ser>
        <c:dLbls>
          <c:showLegendKey val="0"/>
          <c:showVal val="0"/>
          <c:showCatName val="0"/>
          <c:showSerName val="0"/>
          <c:showPercent val="0"/>
          <c:showBubbleSize val="0"/>
        </c:dLbls>
        <c:axId val="632267101"/>
        <c:axId val="436551588"/>
      </c:scatterChart>
      <c:valAx>
        <c:axId val="632267101"/>
        <c:scaling>
          <c:logBase val="10"/>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36551588"/>
        <c:crosses val="autoZero"/>
        <c:crossBetween val="midCat"/>
      </c:valAx>
      <c:valAx>
        <c:axId val="436551588"/>
        <c:scaling>
          <c:logBase val="10"/>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32267101"/>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layout/>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trendlineLbl>
          </c:trendline>
          <c:xVal>
            <c:numRef>
              <c:f>'Table S1'!$Q$168:$Q$185</c:f>
              <c:numCache>
                <c:formatCode>0</c:formatCode>
                <c:ptCount val="18"/>
                <c:pt idx="0">
                  <c:v>889</c:v>
                </c:pt>
                <c:pt idx="1">
                  <c:v>20.3</c:v>
                </c:pt>
                <c:pt idx="2">
                  <c:v>90.3</c:v>
                </c:pt>
                <c:pt idx="3">
                  <c:v>64.3</c:v>
                </c:pt>
                <c:pt idx="4">
                  <c:v>144</c:v>
                </c:pt>
                <c:pt idx="5">
                  <c:v>47</c:v>
                </c:pt>
                <c:pt idx="6">
                  <c:v>70.1</c:v>
                </c:pt>
                <c:pt idx="7">
                  <c:v>1758</c:v>
                </c:pt>
                <c:pt idx="8">
                  <c:v>165.2</c:v>
                </c:pt>
                <c:pt idx="9">
                  <c:v>118</c:v>
                </c:pt>
                <c:pt idx="10">
                  <c:v>103</c:v>
                </c:pt>
                <c:pt idx="11">
                  <c:v>62.1</c:v>
                </c:pt>
                <c:pt idx="12">
                  <c:v>12.7</c:v>
                </c:pt>
                <c:pt idx="13">
                  <c:v>8774</c:v>
                </c:pt>
                <c:pt idx="14">
                  <c:v>50440</c:v>
                </c:pt>
                <c:pt idx="15">
                  <c:v>68067</c:v>
                </c:pt>
                <c:pt idx="16">
                  <c:v>14103</c:v>
                </c:pt>
                <c:pt idx="17">
                  <c:v>3974</c:v>
                </c:pt>
              </c:numCache>
            </c:numRef>
          </c:xVal>
          <c:yVal>
            <c:numRef>
              <c:f>'Table S1'!$X$168:$X$185</c:f>
              <c:numCache>
                <c:formatCode>General</c:formatCode>
                <c:ptCount val="18"/>
                <c:pt idx="0">
                  <c:v>7.06</c:v>
                </c:pt>
                <c:pt idx="1">
                  <c:v>5.52</c:v>
                </c:pt>
                <c:pt idx="2">
                  <c:v>4</c:v>
                </c:pt>
                <c:pt idx="3">
                  <c:v>6.18</c:v>
                </c:pt>
                <c:pt idx="4">
                  <c:v>1.55</c:v>
                </c:pt>
                <c:pt idx="5">
                  <c:v>2.41</c:v>
                </c:pt>
                <c:pt idx="6">
                  <c:v>1.59</c:v>
                </c:pt>
                <c:pt idx="7">
                  <c:v>7.73</c:v>
                </c:pt>
                <c:pt idx="8">
                  <c:v>1.87</c:v>
                </c:pt>
                <c:pt idx="9">
                  <c:v>1.59</c:v>
                </c:pt>
                <c:pt idx="10">
                  <c:v>1.87</c:v>
                </c:pt>
                <c:pt idx="11">
                  <c:v>1.95</c:v>
                </c:pt>
                <c:pt idx="12">
                  <c:v>4.19</c:v>
                </c:pt>
                <c:pt idx="13">
                  <c:v>18</c:v>
                </c:pt>
                <c:pt idx="14">
                  <c:v>22.8</c:v>
                </c:pt>
                <c:pt idx="15">
                  <c:v>37.7</c:v>
                </c:pt>
                <c:pt idx="16">
                  <c:v>35.6</c:v>
                </c:pt>
                <c:pt idx="17">
                  <c:v>11.1</c:v>
                </c:pt>
              </c:numCache>
            </c:numRef>
          </c:yVal>
          <c:smooth val="0"/>
        </c:ser>
        <c:dLbls>
          <c:showLegendKey val="0"/>
          <c:showVal val="0"/>
          <c:showCatName val="0"/>
          <c:showSerName val="0"/>
          <c:showPercent val="0"/>
          <c:showBubbleSize val="0"/>
        </c:dLbls>
        <c:axId val="834072643"/>
        <c:axId val="575255949"/>
      </c:scatterChart>
      <c:valAx>
        <c:axId val="834072643"/>
        <c:scaling>
          <c:logBase val="10"/>
          <c:orientation val="minMax"/>
        </c:scaling>
        <c:delete val="0"/>
        <c:axPos val="b"/>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5255949"/>
        <c:crosses val="autoZero"/>
        <c:crossBetween val="midCat"/>
      </c:valAx>
      <c:valAx>
        <c:axId val="575255949"/>
        <c:scaling>
          <c:logBase val="10"/>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072643"/>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210526315789"/>
          <c:y val="0.0321759259259259"/>
          <c:w val="0.883210526315789"/>
          <c:h val="0.861435185185185"/>
        </c:manualLayout>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'Table S1'!$Q$168:$Q$185</c:f>
              <c:numCache>
                <c:formatCode>0</c:formatCode>
                <c:ptCount val="18"/>
                <c:pt idx="0">
                  <c:v>889</c:v>
                </c:pt>
                <c:pt idx="1">
                  <c:v>20.3</c:v>
                </c:pt>
                <c:pt idx="2">
                  <c:v>90.3</c:v>
                </c:pt>
                <c:pt idx="3">
                  <c:v>64.3</c:v>
                </c:pt>
                <c:pt idx="4">
                  <c:v>144</c:v>
                </c:pt>
                <c:pt idx="5">
                  <c:v>47</c:v>
                </c:pt>
                <c:pt idx="6">
                  <c:v>70.1</c:v>
                </c:pt>
                <c:pt idx="7">
                  <c:v>1758</c:v>
                </c:pt>
                <c:pt idx="8">
                  <c:v>165.2</c:v>
                </c:pt>
                <c:pt idx="9">
                  <c:v>118</c:v>
                </c:pt>
                <c:pt idx="10">
                  <c:v>103</c:v>
                </c:pt>
                <c:pt idx="11">
                  <c:v>62.1</c:v>
                </c:pt>
                <c:pt idx="12">
                  <c:v>12.7</c:v>
                </c:pt>
                <c:pt idx="13">
                  <c:v>8774</c:v>
                </c:pt>
                <c:pt idx="14">
                  <c:v>50440</c:v>
                </c:pt>
                <c:pt idx="15">
                  <c:v>68067</c:v>
                </c:pt>
                <c:pt idx="16">
                  <c:v>14103</c:v>
                </c:pt>
                <c:pt idx="17">
                  <c:v>3974</c:v>
                </c:pt>
              </c:numCache>
            </c:numRef>
          </c:xVal>
          <c:yVal>
            <c:numRef>
              <c:f>'Table S1'!$S$168:$S$185</c:f>
              <c:numCache>
                <c:formatCode>General</c:formatCode>
                <c:ptCount val="18"/>
                <c:pt idx="0">
                  <c:v>8.3</c:v>
                </c:pt>
                <c:pt idx="1">
                  <c:v>3.8</c:v>
                </c:pt>
                <c:pt idx="2">
                  <c:v>4.8</c:v>
                </c:pt>
                <c:pt idx="3">
                  <c:v>5.4</c:v>
                </c:pt>
                <c:pt idx="4">
                  <c:v>7.3</c:v>
                </c:pt>
                <c:pt idx="5">
                  <c:v>6.3</c:v>
                </c:pt>
                <c:pt idx="6">
                  <c:v>5.2</c:v>
                </c:pt>
                <c:pt idx="7">
                  <c:v>6.6</c:v>
                </c:pt>
                <c:pt idx="8">
                  <c:v>5.5</c:v>
                </c:pt>
                <c:pt idx="9">
                  <c:v>5.1</c:v>
                </c:pt>
                <c:pt idx="10">
                  <c:v>5.1</c:v>
                </c:pt>
                <c:pt idx="11">
                  <c:v>8.5</c:v>
                </c:pt>
                <c:pt idx="12">
                  <c:v>5.4</c:v>
                </c:pt>
                <c:pt idx="13">
                  <c:v>2.6</c:v>
                </c:pt>
                <c:pt idx="14">
                  <c:v>3.8</c:v>
                </c:pt>
                <c:pt idx="15">
                  <c:v>5.7</c:v>
                </c:pt>
                <c:pt idx="16">
                  <c:v>9.9</c:v>
                </c:pt>
                <c:pt idx="17">
                  <c:v>4.9</c:v>
                </c:pt>
              </c:numCache>
            </c:numRef>
          </c:yVal>
          <c:smooth val="0"/>
        </c:ser>
        <c:dLbls>
          <c:showLegendKey val="0"/>
          <c:showVal val="0"/>
          <c:showCatName val="0"/>
          <c:showSerName val="0"/>
          <c:showPercent val="0"/>
          <c:showBubbleSize val="0"/>
        </c:dLbls>
        <c:axId val="53268873"/>
        <c:axId val="166200632"/>
      </c:scatterChart>
      <c:valAx>
        <c:axId val="53268873"/>
        <c:scaling>
          <c:logBase val="10"/>
          <c:orientation val="minMax"/>
        </c:scaling>
        <c:delete val="0"/>
        <c:axPos val="b"/>
        <c:majorGridlines>
          <c:spPr>
            <a:ln w="9525" cap="flat" cmpd="sng" algn="ctr">
              <a:solidFill>
                <a:schemeClr val="lt1">
                  <a:lumMod val="902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ltLang="zh-CN"/>
                  <a:t>Pt</a:t>
                </a:r>
                <a:endParaRPr lang="en-US" altLang="zh-CN"/>
              </a:p>
            </c:rich>
          </c:tx>
          <c:layout/>
          <c:overlay val="0"/>
          <c:spPr>
            <a:noFill/>
            <a:ln>
              <a:noFill/>
            </a:ln>
            <a:effectLst/>
          </c:sp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6200632"/>
        <c:crosses val="autoZero"/>
        <c:crossBetween val="midCat"/>
      </c:valAx>
      <c:valAx>
        <c:axId val="166200632"/>
        <c:scaling>
          <c:logBase val="10"/>
          <c:orientation val="minMax"/>
          <c:max val="100"/>
        </c:scaling>
        <c:delete val="0"/>
        <c:axPos val="l"/>
        <c:majorGridlines>
          <c:spPr>
            <a:ln w="9525" cap="flat" cmpd="sng" algn="ctr">
              <a:solidFill>
                <a:schemeClr val="lt1">
                  <a:lumMod val="902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ltLang="zh-CN"/>
                  <a:t>As</a:t>
                </a:r>
                <a:endParaRPr lang="en-US" altLang="zh-CN"/>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268873"/>
        <c:crosses val="autoZero"/>
        <c:crossBetween val="midCat"/>
      </c:valAx>
      <c:spPr>
        <a:noFill/>
        <a:ln w="9525" cap="flat" cmpd="sng" algn="ctr">
          <a:solidFill>
            <a:schemeClr val="tx1">
              <a:lumMod val="15000"/>
              <a:lumOff val="85000"/>
            </a:schemeClr>
          </a:solidFill>
          <a:round/>
        </a:ln>
        <a:effectLst/>
      </c:spPr>
    </c:plotArea>
    <c:legend>
      <c:legendPos val="b"/>
      <c:layout>
        <c:manualLayout>
          <c:xMode val="edge"/>
          <c:yMode val="edge"/>
          <c:x val="0.839802631578947"/>
          <c:y val="0.0787037037037037"/>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88947368421053"/>
          <c:y val="0.0474537037037037"/>
          <c:w val="0.912157894736842"/>
          <c:h val="0.856805555555556"/>
        </c:manualLayout>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numRef>
              <c:f>'Table S1'!$J$143:$J$167</c:f>
              <c:numCache>
                <c:formatCode>General</c:formatCode>
                <c:ptCount val="25"/>
                <c:pt idx="0">
                  <c:v>0.22</c:v>
                </c:pt>
                <c:pt idx="1">
                  <c:v>0.83</c:v>
                </c:pt>
                <c:pt idx="2">
                  <c:v>1.13</c:v>
                </c:pt>
                <c:pt idx="3">
                  <c:v>2.13</c:v>
                </c:pt>
                <c:pt idx="4">
                  <c:v>0.42</c:v>
                </c:pt>
                <c:pt idx="5">
                  <c:v>0.12</c:v>
                </c:pt>
                <c:pt idx="6">
                  <c:v>0.59</c:v>
                </c:pt>
                <c:pt idx="7">
                  <c:v>1.59</c:v>
                </c:pt>
                <c:pt idx="8">
                  <c:v>1.16</c:v>
                </c:pt>
                <c:pt idx="9">
                  <c:v>1.75</c:v>
                </c:pt>
                <c:pt idx="10">
                  <c:v>1.59</c:v>
                </c:pt>
                <c:pt idx="11">
                  <c:v>1.89</c:v>
                </c:pt>
                <c:pt idx="12">
                  <c:v>0.53</c:v>
                </c:pt>
                <c:pt idx="13">
                  <c:v>0.82</c:v>
                </c:pt>
                <c:pt idx="14">
                  <c:v>1.59</c:v>
                </c:pt>
                <c:pt idx="15">
                  <c:v>1.63</c:v>
                </c:pt>
                <c:pt idx="16">
                  <c:v>1.97</c:v>
                </c:pt>
                <c:pt idx="17">
                  <c:v>1.6</c:v>
                </c:pt>
                <c:pt idx="18">
                  <c:v>2.4</c:v>
                </c:pt>
                <c:pt idx="19">
                  <c:v>1.5</c:v>
                </c:pt>
                <c:pt idx="20">
                  <c:v>2.36</c:v>
                </c:pt>
                <c:pt idx="21">
                  <c:v>1.71</c:v>
                </c:pt>
                <c:pt idx="22">
                  <c:v>2.12</c:v>
                </c:pt>
                <c:pt idx="23">
                  <c:v>2.02</c:v>
                </c:pt>
                <c:pt idx="24">
                  <c:v>1.1</c:v>
                </c:pt>
              </c:numCache>
            </c:numRef>
          </c:xVal>
          <c:yVal>
            <c:numRef>
              <c:f>'Table S1'!$W$143:$W$167</c:f>
              <c:numCache>
                <c:formatCode>General</c:formatCode>
                <c:ptCount val="25"/>
                <c:pt idx="0">
                  <c:v>1.4</c:v>
                </c:pt>
                <c:pt idx="1">
                  <c:v>1.12</c:v>
                </c:pt>
                <c:pt idx="2">
                  <c:v>2.22</c:v>
                </c:pt>
                <c:pt idx="3">
                  <c:v>1.83</c:v>
                </c:pt>
                <c:pt idx="4">
                  <c:v>3.18</c:v>
                </c:pt>
                <c:pt idx="5">
                  <c:v>1.33</c:v>
                </c:pt>
                <c:pt idx="6">
                  <c:v>3.77</c:v>
                </c:pt>
                <c:pt idx="7">
                  <c:v>2.46</c:v>
                </c:pt>
                <c:pt idx="8">
                  <c:v>2.2</c:v>
                </c:pt>
                <c:pt idx="9">
                  <c:v>2.46</c:v>
                </c:pt>
                <c:pt idx="10">
                  <c:v>2.03</c:v>
                </c:pt>
                <c:pt idx="11">
                  <c:v>4.02</c:v>
                </c:pt>
                <c:pt idx="12">
                  <c:v>1.52</c:v>
                </c:pt>
                <c:pt idx="13">
                  <c:v>0</c:v>
                </c:pt>
                <c:pt idx="14">
                  <c:v>3.22</c:v>
                </c:pt>
                <c:pt idx="15">
                  <c:v>2.71</c:v>
                </c:pt>
                <c:pt idx="16">
                  <c:v>5.07</c:v>
                </c:pt>
                <c:pt idx="17">
                  <c:v>1.98</c:v>
                </c:pt>
                <c:pt idx="18">
                  <c:v>1.79</c:v>
                </c:pt>
                <c:pt idx="19">
                  <c:v>2.68</c:v>
                </c:pt>
                <c:pt idx="20">
                  <c:v>1.75</c:v>
                </c:pt>
                <c:pt idx="21">
                  <c:v>2.15</c:v>
                </c:pt>
                <c:pt idx="22">
                  <c:v>2.46</c:v>
                </c:pt>
                <c:pt idx="23">
                  <c:v>1.96</c:v>
                </c:pt>
                <c:pt idx="24">
                  <c:v>2.38</c:v>
                </c:pt>
              </c:numCache>
            </c:numRef>
          </c:yVal>
          <c:smooth val="0"/>
        </c:ser>
        <c:ser>
          <c:idx val="1"/>
          <c:order val="1"/>
          <c:tx>
            <c:strRef>
              <c:f>"2"</c:f>
              <c:strCache>
                <c:ptCount val="1"/>
                <c:pt idx="0">
                  <c:v>2</c:v>
                </c:pt>
              </c:strCache>
            </c:strRef>
          </c:tx>
          <c:spPr>
            <a:ln w="19050" cap="rnd">
              <a:solidFill>
                <a:srgbClr val="C00000"/>
              </a:solidFill>
              <a:round/>
            </a:ln>
            <a:effectLst/>
          </c:spPr>
          <c:marker>
            <c:symbol val="circle"/>
            <c:size val="5"/>
            <c:spPr>
              <a:solidFill>
                <a:srgbClr val="C00000"/>
              </a:solidFill>
              <a:ln w="9525">
                <a:solidFill>
                  <a:srgbClr val="C00000"/>
                </a:solidFill>
              </a:ln>
              <a:effectLst/>
            </c:spPr>
          </c:marker>
          <c:dLbls>
            <c:delete val="1"/>
          </c:dLbls>
          <c:xVal>
            <c:numRef>
              <c:f>'Table S1'!$A$193:$A$197</c:f>
              <c:numCache>
                <c:formatCode>General</c:formatCode>
                <c:ptCount val="5"/>
                <c:pt idx="0">
                  <c:v>10</c:v>
                </c:pt>
                <c:pt idx="1">
                  <c:v>100</c:v>
                </c:pt>
                <c:pt idx="2">
                  <c:v>1000</c:v>
                </c:pt>
                <c:pt idx="3">
                  <c:v>10000</c:v>
                </c:pt>
                <c:pt idx="4">
                  <c:v>100000</c:v>
                </c:pt>
              </c:numCache>
            </c:numRef>
          </c:xVal>
          <c:yVal>
            <c:numRef>
              <c:f>'Table S1'!$B$193:$B$197</c:f>
              <c:numCache>
                <c:formatCode>General</c:formatCode>
                <c:ptCount val="5"/>
                <c:pt idx="0">
                  <c:v>0.003</c:v>
                </c:pt>
                <c:pt idx="1">
                  <c:v>0.03</c:v>
                </c:pt>
                <c:pt idx="2">
                  <c:v>0.3</c:v>
                </c:pt>
                <c:pt idx="3">
                  <c:v>3</c:v>
                </c:pt>
                <c:pt idx="4">
                  <c:v>30</c:v>
                </c:pt>
              </c:numCache>
            </c:numRef>
          </c:yVal>
          <c:smooth val="0"/>
        </c:ser>
        <c:dLbls>
          <c:showLegendKey val="0"/>
          <c:showVal val="0"/>
          <c:showCatName val="0"/>
          <c:showSerName val="0"/>
          <c:showPercent val="0"/>
          <c:showBubbleSize val="0"/>
        </c:dLbls>
        <c:axId val="555161260"/>
        <c:axId val="536853146"/>
      </c:scatterChart>
      <c:valAx>
        <c:axId val="555161260"/>
        <c:scaling>
          <c:logBase val="10"/>
          <c:orientation val="minMax"/>
          <c:max val="100"/>
          <c:min val="0.001"/>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36853146"/>
        <c:crosses val="autoZero"/>
        <c:crossBetween val="midCat"/>
      </c:valAx>
      <c:valAx>
        <c:axId val="536853146"/>
        <c:scaling>
          <c:logBase val="10"/>
          <c:orientation val="minMax"/>
          <c:min val="0.001"/>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55161260"/>
        <c:crosses val="autoZero"/>
        <c:crossBetween val="midCat"/>
      </c:valAx>
      <c:spPr>
        <a:noFill/>
        <a:ln w="9525" cap="flat" cmpd="sng" algn="ctr">
          <a:solidFill>
            <a:schemeClr val="tx1">
              <a:lumMod val="15000"/>
              <a:lumOff val="85000"/>
            </a:schemeClr>
          </a:solidFill>
          <a:round/>
        </a:ln>
        <a:effectLst/>
      </c:spPr>
    </c:plotArea>
    <c:legend>
      <c:legendPos val="b"/>
      <c:layout>
        <c:manualLayout>
          <c:xMode val="edge"/>
          <c:yMode val="edge"/>
          <c:x val="0.721927582006685"/>
          <c:y val="0.075493535988819"/>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349250</xdr:colOff>
      <xdr:row>149</xdr:row>
      <xdr:rowOff>6350</xdr:rowOff>
    </xdr:from>
    <xdr:to>
      <xdr:col>13</xdr:col>
      <xdr:colOff>155575</xdr:colOff>
      <xdr:row>164</xdr:row>
      <xdr:rowOff>34925</xdr:rowOff>
    </xdr:to>
    <xdr:graphicFrame>
      <xdr:nvGraphicFramePr>
        <xdr:cNvPr id="8" name="图表 7"/>
        <xdr:cNvGraphicFramePr/>
      </xdr:nvGraphicFramePr>
      <xdr:xfrm>
        <a:off x="7140575" y="9474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215900</xdr:colOff>
      <xdr:row>149</xdr:row>
      <xdr:rowOff>82550</xdr:rowOff>
    </xdr:from>
    <xdr:to>
      <xdr:col>20</xdr:col>
      <xdr:colOff>307975</xdr:colOff>
      <xdr:row>164</xdr:row>
      <xdr:rowOff>111125</xdr:rowOff>
    </xdr:to>
    <xdr:graphicFrame>
      <xdr:nvGraphicFramePr>
        <xdr:cNvPr id="9" name="图表 8"/>
        <xdr:cNvGraphicFramePr/>
      </xdr:nvGraphicFramePr>
      <xdr:xfrm>
        <a:off x="12026900" y="955040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482600</xdr:colOff>
      <xdr:row>149</xdr:row>
      <xdr:rowOff>73025</xdr:rowOff>
    </xdr:from>
    <xdr:to>
      <xdr:col>27</xdr:col>
      <xdr:colOff>498475</xdr:colOff>
      <xdr:row>164</xdr:row>
      <xdr:rowOff>101600</xdr:rowOff>
    </xdr:to>
    <xdr:graphicFrame>
      <xdr:nvGraphicFramePr>
        <xdr:cNvPr id="10" name="图表 9"/>
        <xdr:cNvGraphicFramePr/>
      </xdr:nvGraphicFramePr>
      <xdr:xfrm>
        <a:off x="17027525" y="9540875"/>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165100</xdr:colOff>
      <xdr:row>185</xdr:row>
      <xdr:rowOff>38100</xdr:rowOff>
    </xdr:from>
    <xdr:to>
      <xdr:col>20</xdr:col>
      <xdr:colOff>257175</xdr:colOff>
      <xdr:row>200</xdr:row>
      <xdr:rowOff>66675</xdr:rowOff>
    </xdr:to>
    <xdr:graphicFrame>
      <xdr:nvGraphicFramePr>
        <xdr:cNvPr id="11" name="图表 10"/>
        <xdr:cNvGraphicFramePr/>
      </xdr:nvGraphicFramePr>
      <xdr:xfrm>
        <a:off x="11976100" y="16030575"/>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466725</xdr:colOff>
      <xdr:row>185</xdr:row>
      <xdr:rowOff>34925</xdr:rowOff>
    </xdr:from>
    <xdr:to>
      <xdr:col>27</xdr:col>
      <xdr:colOff>482600</xdr:colOff>
      <xdr:row>200</xdr:row>
      <xdr:rowOff>63500</xdr:rowOff>
    </xdr:to>
    <xdr:graphicFrame>
      <xdr:nvGraphicFramePr>
        <xdr:cNvPr id="12" name="图表 11"/>
        <xdr:cNvGraphicFramePr/>
      </xdr:nvGraphicFramePr>
      <xdr:xfrm>
        <a:off x="17011650" y="16027400"/>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314325</xdr:colOff>
      <xdr:row>185</xdr:row>
      <xdr:rowOff>73025</xdr:rowOff>
    </xdr:from>
    <xdr:to>
      <xdr:col>13</xdr:col>
      <xdr:colOff>120650</xdr:colOff>
      <xdr:row>200</xdr:row>
      <xdr:rowOff>101600</xdr:rowOff>
    </xdr:to>
    <xdr:graphicFrame>
      <xdr:nvGraphicFramePr>
        <xdr:cNvPr id="13" name="图表 12"/>
        <xdr:cNvGraphicFramePr/>
      </xdr:nvGraphicFramePr>
      <xdr:xfrm>
        <a:off x="7105650" y="16065500"/>
        <a:ext cx="4826000" cy="2743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479425</xdr:colOff>
      <xdr:row>171</xdr:row>
      <xdr:rowOff>146050</xdr:rowOff>
    </xdr:from>
    <xdr:to>
      <xdr:col>21</xdr:col>
      <xdr:colOff>47625</xdr:colOff>
      <xdr:row>182</xdr:row>
      <xdr:rowOff>174625</xdr:rowOff>
    </xdr:to>
    <xdr:graphicFrame>
      <xdr:nvGraphicFramePr>
        <xdr:cNvPr id="14" name="图表 13"/>
        <xdr:cNvGraphicFramePr/>
      </xdr:nvGraphicFramePr>
      <xdr:xfrm>
        <a:off x="14319250" y="13595350"/>
        <a:ext cx="2949575" cy="20193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03"/>
  <sheetViews>
    <sheetView tabSelected="1" workbookViewId="0">
      <pane xSplit="4" ySplit="5" topLeftCell="G142" activePane="bottomRight" state="frozen"/>
      <selection/>
      <selection pane="topRight"/>
      <selection pane="bottomLeft"/>
      <selection pane="bottomRight" activeCell="Q168" sqref="Q168"/>
    </sheetView>
  </sheetViews>
  <sheetFormatPr defaultColWidth="8.875" defaultRowHeight="14.25"/>
  <cols>
    <col min="1" max="1" width="7.875" customWidth="1"/>
    <col min="2" max="2" width="9.625" customWidth="1"/>
    <col min="3" max="3" width="12.5" customWidth="1"/>
    <col min="4" max="4" width="13.875" customWidth="1"/>
    <col min="5" max="5" width="23.875" customWidth="1"/>
    <col min="6" max="6" width="21.375" customWidth="1"/>
    <col min="7" max="7" width="12.625" customWidth="1"/>
    <col min="27" max="27" width="9.875" customWidth="1"/>
  </cols>
  <sheetData>
    <row r="1" ht="15.75" spans="1:1">
      <c r="A1" s="2" t="s">
        <v>0</v>
      </c>
    </row>
    <row r="2" ht="15.75" spans="1:1">
      <c r="A2" s="2" t="s">
        <v>1</v>
      </c>
    </row>
    <row r="3" ht="15" spans="1:27">
      <c r="A3" s="49" t="s">
        <v>2</v>
      </c>
      <c r="B3" s="4"/>
      <c r="C3" s="4"/>
      <c r="D3" s="4"/>
      <c r="E3" s="4"/>
      <c r="F3" s="4"/>
      <c r="G3" s="4"/>
      <c r="H3" s="4"/>
      <c r="I3" s="4"/>
      <c r="J3" s="4"/>
      <c r="K3" s="4"/>
      <c r="L3" s="4"/>
      <c r="M3" s="4"/>
      <c r="N3" s="4"/>
      <c r="O3" s="4"/>
      <c r="P3" s="4"/>
      <c r="Q3" s="4"/>
      <c r="R3" s="4"/>
      <c r="S3" s="4"/>
      <c r="T3" s="4"/>
      <c r="U3" s="4"/>
      <c r="V3" s="4"/>
      <c r="W3" s="4"/>
      <c r="X3" s="4"/>
      <c r="Y3" s="4"/>
      <c r="Z3" s="4"/>
      <c r="AA3" s="4"/>
    </row>
    <row r="4" spans="1:27">
      <c r="A4" s="50" t="s">
        <v>3</v>
      </c>
      <c r="B4" s="50" t="s">
        <v>4</v>
      </c>
      <c r="C4" s="50" t="s">
        <v>5</v>
      </c>
      <c r="D4" s="50" t="s">
        <v>6</v>
      </c>
      <c r="E4" s="50" t="s">
        <v>7</v>
      </c>
      <c r="F4" s="50" t="s">
        <v>8</v>
      </c>
      <c r="G4" s="50" t="s">
        <v>9</v>
      </c>
      <c r="H4" s="50" t="s">
        <v>10</v>
      </c>
      <c r="I4" s="50" t="s">
        <v>11</v>
      </c>
      <c r="J4" s="50" t="s">
        <v>12</v>
      </c>
      <c r="K4" s="50" t="s">
        <v>13</v>
      </c>
      <c r="L4" s="50" t="s">
        <v>14</v>
      </c>
      <c r="M4" s="50" t="s">
        <v>15</v>
      </c>
      <c r="N4" s="50" t="s">
        <v>16</v>
      </c>
      <c r="O4" s="50" t="s">
        <v>17</v>
      </c>
      <c r="P4" s="50" t="s">
        <v>18</v>
      </c>
      <c r="Q4" s="50" t="s">
        <v>19</v>
      </c>
      <c r="R4" s="50" t="s">
        <v>20</v>
      </c>
      <c r="S4" s="50" t="s">
        <v>21</v>
      </c>
      <c r="T4" s="50" t="s">
        <v>22</v>
      </c>
      <c r="U4" s="50" t="s">
        <v>23</v>
      </c>
      <c r="V4" s="50" t="s">
        <v>24</v>
      </c>
      <c r="W4" s="50" t="s">
        <v>25</v>
      </c>
      <c r="X4" s="50" t="s">
        <v>26</v>
      </c>
      <c r="Y4" s="50" t="s">
        <v>27</v>
      </c>
      <c r="Z4" s="50" t="s">
        <v>28</v>
      </c>
      <c r="AA4" s="50" t="s">
        <v>29</v>
      </c>
    </row>
    <row r="5" ht="15" spans="1:27">
      <c r="A5" s="9"/>
      <c r="B5" s="9"/>
      <c r="C5" s="9"/>
      <c r="D5" s="9"/>
      <c r="E5" s="9"/>
      <c r="F5" s="9"/>
      <c r="G5" s="9"/>
      <c r="H5" s="51" t="s">
        <v>30</v>
      </c>
      <c r="I5" s="51" t="s">
        <v>30</v>
      </c>
      <c r="J5" s="51" t="s">
        <v>30</v>
      </c>
      <c r="K5" s="51" t="s">
        <v>31</v>
      </c>
      <c r="L5" s="51" t="s">
        <v>32</v>
      </c>
      <c r="M5" s="51" t="s">
        <v>32</v>
      </c>
      <c r="N5" s="51" t="s">
        <v>32</v>
      </c>
      <c r="O5" s="51" t="s">
        <v>32</v>
      </c>
      <c r="P5" s="51" t="s">
        <v>32</v>
      </c>
      <c r="Q5" s="51" t="s">
        <v>32</v>
      </c>
      <c r="R5" s="51" t="s">
        <v>32</v>
      </c>
      <c r="S5" s="51" t="s">
        <v>31</v>
      </c>
      <c r="T5" s="51" t="s">
        <v>31</v>
      </c>
      <c r="U5" s="51" t="s">
        <v>31</v>
      </c>
      <c r="V5" s="51" t="s">
        <v>31</v>
      </c>
      <c r="W5" s="51" t="s">
        <v>31</v>
      </c>
      <c r="X5" s="51" t="s">
        <v>31</v>
      </c>
      <c r="Y5" s="51"/>
      <c r="Z5" s="4"/>
      <c r="AA5" s="4"/>
    </row>
    <row r="6" hidden="1" spans="1:27">
      <c r="A6" s="7" t="s">
        <v>33</v>
      </c>
      <c r="B6" s="7" t="s">
        <v>34</v>
      </c>
      <c r="C6" s="7" t="s">
        <v>35</v>
      </c>
      <c r="D6" s="7" t="s">
        <v>36</v>
      </c>
      <c r="E6" s="7" t="s">
        <v>37</v>
      </c>
      <c r="F6" s="7" t="s">
        <v>38</v>
      </c>
      <c r="G6" s="7"/>
      <c r="H6" s="18">
        <v>2.19</v>
      </c>
      <c r="I6" s="18">
        <v>0.266</v>
      </c>
      <c r="J6" s="18">
        <v>0.64</v>
      </c>
      <c r="K6" s="7">
        <v>170</v>
      </c>
      <c r="L6" s="7" t="s">
        <v>39</v>
      </c>
      <c r="M6" s="7" t="s">
        <v>39</v>
      </c>
      <c r="N6" s="13">
        <v>4.8</v>
      </c>
      <c r="O6" s="13">
        <v>18</v>
      </c>
      <c r="P6" s="13">
        <v>48</v>
      </c>
      <c r="Q6" s="13">
        <v>310</v>
      </c>
      <c r="R6" s="13">
        <v>1300</v>
      </c>
      <c r="S6" s="7" t="s">
        <v>39</v>
      </c>
      <c r="T6" s="7" t="s">
        <v>39</v>
      </c>
      <c r="U6" s="7" t="s">
        <v>39</v>
      </c>
      <c r="V6" s="7" t="s">
        <v>39</v>
      </c>
      <c r="W6" s="7" t="s">
        <v>39</v>
      </c>
      <c r="X6" s="7" t="s">
        <v>39</v>
      </c>
      <c r="Y6" s="14">
        <f>I6/J6</f>
        <v>0.415625</v>
      </c>
      <c r="Z6" s="60">
        <f>R6/O6</f>
        <v>72.2222222222222</v>
      </c>
      <c r="AA6" s="60">
        <f>I6*10000/O6</f>
        <v>147.777777777778</v>
      </c>
    </row>
    <row r="7" hidden="1" spans="1:27">
      <c r="A7" s="7" t="s">
        <v>33</v>
      </c>
      <c r="B7" s="7" t="s">
        <v>34</v>
      </c>
      <c r="C7" s="7" t="s">
        <v>35</v>
      </c>
      <c r="D7" s="7" t="s">
        <v>40</v>
      </c>
      <c r="E7" s="7" t="s">
        <v>37</v>
      </c>
      <c r="F7" s="7" t="s">
        <v>38</v>
      </c>
      <c r="G7" s="7"/>
      <c r="H7" s="18">
        <v>1.59</v>
      </c>
      <c r="I7" s="18">
        <v>0.361</v>
      </c>
      <c r="J7" s="18">
        <v>0.5</v>
      </c>
      <c r="K7" s="7">
        <v>200</v>
      </c>
      <c r="L7" s="7" t="s">
        <v>39</v>
      </c>
      <c r="M7" s="7" t="s">
        <v>39</v>
      </c>
      <c r="N7" s="13">
        <v>6.5</v>
      </c>
      <c r="O7" s="13">
        <v>19</v>
      </c>
      <c r="P7" s="13">
        <v>58</v>
      </c>
      <c r="Q7" s="13">
        <v>410</v>
      </c>
      <c r="R7" s="13">
        <v>1500</v>
      </c>
      <c r="S7" s="7" t="s">
        <v>39</v>
      </c>
      <c r="T7" s="7" t="s">
        <v>39</v>
      </c>
      <c r="U7" s="7" t="s">
        <v>39</v>
      </c>
      <c r="V7" s="7" t="s">
        <v>39</v>
      </c>
      <c r="W7" s="7" t="s">
        <v>39</v>
      </c>
      <c r="X7" s="7" t="s">
        <v>39</v>
      </c>
      <c r="Y7" s="14">
        <f t="shared" ref="Y7:Y26" si="0">I7/J7</f>
        <v>0.722</v>
      </c>
      <c r="Z7" s="60">
        <f t="shared" ref="Z7:Z29" si="1">R7/O7</f>
        <v>78.9473684210526</v>
      </c>
      <c r="AA7" s="60">
        <f t="shared" ref="AA7:AA26" si="2">I7*10000/O7</f>
        <v>190</v>
      </c>
    </row>
    <row r="8" hidden="1" spans="1:27">
      <c r="A8" s="7" t="s">
        <v>33</v>
      </c>
      <c r="B8" s="7" t="s">
        <v>34</v>
      </c>
      <c r="C8" s="7" t="s">
        <v>35</v>
      </c>
      <c r="D8" s="7" t="s">
        <v>41</v>
      </c>
      <c r="E8" s="7" t="s">
        <v>37</v>
      </c>
      <c r="F8" s="7" t="s">
        <v>38</v>
      </c>
      <c r="G8" s="7"/>
      <c r="H8" s="18">
        <v>2.08</v>
      </c>
      <c r="I8" s="18">
        <v>0.3325</v>
      </c>
      <c r="J8" s="18">
        <v>0.66</v>
      </c>
      <c r="K8" s="7">
        <v>180</v>
      </c>
      <c r="L8" s="7" t="s">
        <v>39</v>
      </c>
      <c r="M8" s="7" t="s">
        <v>39</v>
      </c>
      <c r="N8" s="13">
        <v>5.3</v>
      </c>
      <c r="O8" s="13">
        <v>19</v>
      </c>
      <c r="P8" s="13">
        <v>55</v>
      </c>
      <c r="Q8" s="13">
        <v>380</v>
      </c>
      <c r="R8" s="13">
        <v>1700</v>
      </c>
      <c r="S8" s="7" t="s">
        <v>39</v>
      </c>
      <c r="T8" s="7" t="s">
        <v>39</v>
      </c>
      <c r="U8" s="7" t="s">
        <v>39</v>
      </c>
      <c r="V8" s="7" t="s">
        <v>39</v>
      </c>
      <c r="W8" s="7" t="s">
        <v>39</v>
      </c>
      <c r="X8" s="7" t="s">
        <v>39</v>
      </c>
      <c r="Y8" s="14">
        <f t="shared" si="0"/>
        <v>0.503787878787879</v>
      </c>
      <c r="Z8" s="60">
        <f t="shared" si="1"/>
        <v>89.4736842105263</v>
      </c>
      <c r="AA8" s="60">
        <f t="shared" si="2"/>
        <v>175</v>
      </c>
    </row>
    <row r="9" hidden="1" spans="1:27">
      <c r="A9" s="7" t="s">
        <v>33</v>
      </c>
      <c r="B9" s="7" t="s">
        <v>34</v>
      </c>
      <c r="C9" s="7" t="s">
        <v>35</v>
      </c>
      <c r="D9" s="7" t="s">
        <v>42</v>
      </c>
      <c r="E9" s="7" t="s">
        <v>37</v>
      </c>
      <c r="F9" s="7" t="s">
        <v>38</v>
      </c>
      <c r="G9" s="7"/>
      <c r="H9" s="18">
        <v>2.9</v>
      </c>
      <c r="I9" s="18">
        <v>0.532</v>
      </c>
      <c r="J9" s="18">
        <v>0.96</v>
      </c>
      <c r="K9" s="7">
        <v>240</v>
      </c>
      <c r="L9" s="7" t="s">
        <v>39</v>
      </c>
      <c r="M9" s="7" t="s">
        <v>39</v>
      </c>
      <c r="N9" s="13">
        <v>12</v>
      </c>
      <c r="O9" s="13">
        <v>36</v>
      </c>
      <c r="P9" s="13">
        <v>100</v>
      </c>
      <c r="Q9" s="13">
        <v>810</v>
      </c>
      <c r="R9" s="13">
        <v>2900</v>
      </c>
      <c r="S9" s="7" t="s">
        <v>39</v>
      </c>
      <c r="T9" s="7" t="s">
        <v>39</v>
      </c>
      <c r="U9" s="7" t="s">
        <v>39</v>
      </c>
      <c r="V9" s="7" t="s">
        <v>39</v>
      </c>
      <c r="W9" s="7" t="s">
        <v>39</v>
      </c>
      <c r="X9" s="7" t="s">
        <v>39</v>
      </c>
      <c r="Y9" s="14">
        <f t="shared" si="0"/>
        <v>0.554166666666667</v>
      </c>
      <c r="Z9" s="60">
        <f t="shared" si="1"/>
        <v>80.5555555555556</v>
      </c>
      <c r="AA9" s="60">
        <f t="shared" si="2"/>
        <v>147.777777777778</v>
      </c>
    </row>
    <row r="10" hidden="1" spans="1:27">
      <c r="A10" s="7" t="s">
        <v>33</v>
      </c>
      <c r="B10" s="7" t="s">
        <v>34</v>
      </c>
      <c r="C10" s="7" t="s">
        <v>35</v>
      </c>
      <c r="D10" s="7" t="s">
        <v>43</v>
      </c>
      <c r="E10" s="7" t="s">
        <v>37</v>
      </c>
      <c r="F10" s="7" t="s">
        <v>38</v>
      </c>
      <c r="G10" s="7"/>
      <c r="H10" s="18">
        <v>1.22</v>
      </c>
      <c r="I10" s="18">
        <v>0.304</v>
      </c>
      <c r="J10" s="18">
        <v>0.41</v>
      </c>
      <c r="K10" s="7">
        <v>180</v>
      </c>
      <c r="L10" s="7" t="s">
        <v>39</v>
      </c>
      <c r="M10" s="7" t="s">
        <v>39</v>
      </c>
      <c r="N10" s="13">
        <v>4.5</v>
      </c>
      <c r="O10" s="13">
        <v>14</v>
      </c>
      <c r="P10" s="13">
        <v>48</v>
      </c>
      <c r="Q10" s="13">
        <v>430</v>
      </c>
      <c r="R10" s="13">
        <v>1600</v>
      </c>
      <c r="S10" s="7" t="s">
        <v>39</v>
      </c>
      <c r="T10" s="7" t="s">
        <v>39</v>
      </c>
      <c r="U10" s="7" t="s">
        <v>39</v>
      </c>
      <c r="V10" s="7" t="s">
        <v>39</v>
      </c>
      <c r="W10" s="7" t="s">
        <v>39</v>
      </c>
      <c r="X10" s="7" t="s">
        <v>39</v>
      </c>
      <c r="Y10" s="14">
        <f t="shared" si="0"/>
        <v>0.741463414634146</v>
      </c>
      <c r="Z10" s="60">
        <f t="shared" si="1"/>
        <v>114.285714285714</v>
      </c>
      <c r="AA10" s="60">
        <f t="shared" si="2"/>
        <v>217.142857142857</v>
      </c>
    </row>
    <row r="11" hidden="1" spans="1:27">
      <c r="A11" s="7" t="s">
        <v>33</v>
      </c>
      <c r="B11" s="7" t="s">
        <v>34</v>
      </c>
      <c r="C11" s="7" t="s">
        <v>35</v>
      </c>
      <c r="D11" s="7" t="s">
        <v>44</v>
      </c>
      <c r="E11" s="7" t="s">
        <v>37</v>
      </c>
      <c r="F11" s="7" t="s">
        <v>38</v>
      </c>
      <c r="G11" s="7"/>
      <c r="H11" s="18">
        <v>1.33</v>
      </c>
      <c r="I11" s="18">
        <v>0.1995</v>
      </c>
      <c r="J11" s="18">
        <v>0.45</v>
      </c>
      <c r="K11" s="7">
        <v>110</v>
      </c>
      <c r="L11" s="7" t="s">
        <v>39</v>
      </c>
      <c r="M11" s="7" t="s">
        <v>39</v>
      </c>
      <c r="N11" s="13">
        <v>2.1</v>
      </c>
      <c r="O11" s="13">
        <v>8.4</v>
      </c>
      <c r="P11" s="13">
        <v>40</v>
      </c>
      <c r="Q11" s="13">
        <v>220</v>
      </c>
      <c r="R11" s="13">
        <v>890</v>
      </c>
      <c r="S11" s="7" t="s">
        <v>39</v>
      </c>
      <c r="T11" s="7" t="s">
        <v>39</v>
      </c>
      <c r="U11" s="7" t="s">
        <v>39</v>
      </c>
      <c r="V11" s="7" t="s">
        <v>39</v>
      </c>
      <c r="W11" s="7" t="s">
        <v>39</v>
      </c>
      <c r="X11" s="7" t="s">
        <v>39</v>
      </c>
      <c r="Y11" s="14">
        <f t="shared" si="0"/>
        <v>0.443333333333333</v>
      </c>
      <c r="Z11" s="60">
        <f t="shared" si="1"/>
        <v>105.952380952381</v>
      </c>
      <c r="AA11" s="60">
        <f t="shared" si="2"/>
        <v>237.5</v>
      </c>
    </row>
    <row r="12" hidden="1" spans="1:27">
      <c r="A12" s="7" t="s">
        <v>33</v>
      </c>
      <c r="B12" s="7" t="s">
        <v>34</v>
      </c>
      <c r="C12" s="7" t="s">
        <v>35</v>
      </c>
      <c r="D12" s="7" t="s">
        <v>45</v>
      </c>
      <c r="E12" s="7" t="s">
        <v>37</v>
      </c>
      <c r="F12" s="7" t="s">
        <v>38</v>
      </c>
      <c r="G12" s="7"/>
      <c r="H12" s="18">
        <v>0.95</v>
      </c>
      <c r="I12" s="18">
        <v>0.2375</v>
      </c>
      <c r="J12" s="18">
        <v>0.33</v>
      </c>
      <c r="K12" s="7">
        <v>150</v>
      </c>
      <c r="L12" s="7" t="s">
        <v>39</v>
      </c>
      <c r="M12" s="7" t="s">
        <v>39</v>
      </c>
      <c r="N12" s="13">
        <v>3.7</v>
      </c>
      <c r="O12" s="13">
        <v>11</v>
      </c>
      <c r="P12" s="13">
        <v>37</v>
      </c>
      <c r="Q12" s="13">
        <v>280</v>
      </c>
      <c r="R12" s="13">
        <v>1100</v>
      </c>
      <c r="S12" s="7" t="s">
        <v>39</v>
      </c>
      <c r="T12" s="7" t="s">
        <v>39</v>
      </c>
      <c r="U12" s="7" t="s">
        <v>39</v>
      </c>
      <c r="V12" s="7" t="s">
        <v>39</v>
      </c>
      <c r="W12" s="7" t="s">
        <v>39</v>
      </c>
      <c r="X12" s="7" t="s">
        <v>39</v>
      </c>
      <c r="Y12" s="14">
        <f t="shared" si="0"/>
        <v>0.71969696969697</v>
      </c>
      <c r="Z12" s="60">
        <f t="shared" si="1"/>
        <v>100</v>
      </c>
      <c r="AA12" s="60">
        <f t="shared" si="2"/>
        <v>215.909090909091</v>
      </c>
    </row>
    <row r="13" hidden="1" spans="1:27">
      <c r="A13" s="7" t="s">
        <v>33</v>
      </c>
      <c r="B13" s="7" t="s">
        <v>34</v>
      </c>
      <c r="C13" s="7" t="s">
        <v>35</v>
      </c>
      <c r="D13" s="7" t="s">
        <v>46</v>
      </c>
      <c r="E13" s="7" t="s">
        <v>37</v>
      </c>
      <c r="F13" s="7" t="s">
        <v>38</v>
      </c>
      <c r="G13" s="7"/>
      <c r="H13" s="18">
        <v>1.32</v>
      </c>
      <c r="I13" s="18">
        <v>0.3325</v>
      </c>
      <c r="J13" s="18">
        <v>0.48</v>
      </c>
      <c r="K13" s="7">
        <v>180</v>
      </c>
      <c r="L13" s="13">
        <v>6.6</v>
      </c>
      <c r="M13" s="13">
        <v>4.4</v>
      </c>
      <c r="N13" s="13">
        <v>6.5</v>
      </c>
      <c r="O13" s="13">
        <v>21</v>
      </c>
      <c r="P13" s="13">
        <v>68</v>
      </c>
      <c r="Q13" s="13">
        <v>550</v>
      </c>
      <c r="R13" s="13">
        <v>1900</v>
      </c>
      <c r="S13" s="7" t="s">
        <v>39</v>
      </c>
      <c r="T13" s="7" t="s">
        <v>39</v>
      </c>
      <c r="U13" s="7" t="s">
        <v>39</v>
      </c>
      <c r="V13" s="7" t="s">
        <v>39</v>
      </c>
      <c r="W13" s="7" t="s">
        <v>39</v>
      </c>
      <c r="X13" s="7" t="s">
        <v>39</v>
      </c>
      <c r="Y13" s="14">
        <f t="shared" si="0"/>
        <v>0.692708333333333</v>
      </c>
      <c r="Z13" s="60">
        <f t="shared" si="1"/>
        <v>90.4761904761905</v>
      </c>
      <c r="AA13" s="60">
        <f t="shared" si="2"/>
        <v>158.333333333333</v>
      </c>
    </row>
    <row r="14" hidden="1" spans="1:27">
      <c r="A14" s="7" t="s">
        <v>33</v>
      </c>
      <c r="B14" s="7" t="s">
        <v>34</v>
      </c>
      <c r="C14" s="7" t="s">
        <v>35</v>
      </c>
      <c r="D14" s="7" t="s">
        <v>47</v>
      </c>
      <c r="E14" s="7" t="s">
        <v>37</v>
      </c>
      <c r="F14" s="7" t="s">
        <v>38</v>
      </c>
      <c r="G14" s="7"/>
      <c r="H14" s="18">
        <v>1.12</v>
      </c>
      <c r="I14" s="18">
        <v>0.228</v>
      </c>
      <c r="J14" s="18">
        <v>0.43</v>
      </c>
      <c r="K14" s="7">
        <v>140</v>
      </c>
      <c r="L14" s="13" t="s">
        <v>39</v>
      </c>
      <c r="M14" s="13" t="s">
        <v>39</v>
      </c>
      <c r="N14" s="13">
        <v>4.3</v>
      </c>
      <c r="O14" s="13">
        <v>14</v>
      </c>
      <c r="P14" s="13">
        <v>39</v>
      </c>
      <c r="Q14" s="13">
        <v>250</v>
      </c>
      <c r="R14" s="13">
        <v>1100</v>
      </c>
      <c r="S14" s="7" t="s">
        <v>39</v>
      </c>
      <c r="T14" s="7" t="s">
        <v>39</v>
      </c>
      <c r="U14" s="7" t="s">
        <v>39</v>
      </c>
      <c r="V14" s="7" t="s">
        <v>39</v>
      </c>
      <c r="W14" s="7" t="s">
        <v>39</v>
      </c>
      <c r="X14" s="7" t="s">
        <v>39</v>
      </c>
      <c r="Y14" s="14">
        <f t="shared" si="0"/>
        <v>0.530232558139535</v>
      </c>
      <c r="Z14" s="60">
        <f t="shared" si="1"/>
        <v>78.5714285714286</v>
      </c>
      <c r="AA14" s="60">
        <f t="shared" si="2"/>
        <v>162.857142857143</v>
      </c>
    </row>
    <row r="15" hidden="1" spans="1:27">
      <c r="A15" s="7" t="s">
        <v>33</v>
      </c>
      <c r="B15" s="8" t="s">
        <v>34</v>
      </c>
      <c r="C15" s="8" t="s">
        <v>48</v>
      </c>
      <c r="D15" s="7" t="s">
        <v>49</v>
      </c>
      <c r="E15" s="7" t="s">
        <v>37</v>
      </c>
      <c r="F15" s="7" t="s">
        <v>50</v>
      </c>
      <c r="G15" s="52"/>
      <c r="H15" s="18">
        <v>3.94088170345427</v>
      </c>
      <c r="I15" s="18">
        <v>0.38504011117597</v>
      </c>
      <c r="J15" s="18">
        <v>0.647080283712195</v>
      </c>
      <c r="K15" s="13">
        <v>235.944664791198</v>
      </c>
      <c r="L15" s="13" t="s">
        <v>39</v>
      </c>
      <c r="M15" s="13" t="s">
        <v>39</v>
      </c>
      <c r="N15" s="13">
        <v>0.679582997762864</v>
      </c>
      <c r="O15" s="13">
        <v>2.15326295405665</v>
      </c>
      <c r="P15" s="13">
        <v>4.96979982248365</v>
      </c>
      <c r="Q15" s="13">
        <v>639.037652299971</v>
      </c>
      <c r="R15" s="13">
        <v>2535.97537344326</v>
      </c>
      <c r="S15" s="57">
        <v>4.3</v>
      </c>
      <c r="T15" s="58">
        <v>6</v>
      </c>
      <c r="U15" s="7" t="s">
        <v>39</v>
      </c>
      <c r="V15" s="57">
        <v>0.14</v>
      </c>
      <c r="W15" s="57">
        <v>0.41</v>
      </c>
      <c r="X15" s="57">
        <v>0.17</v>
      </c>
      <c r="Y15" s="14">
        <f t="shared" si="0"/>
        <v>0.595042254984277</v>
      </c>
      <c r="Z15" s="60">
        <f t="shared" si="1"/>
        <v>1177.73603482361</v>
      </c>
      <c r="AA15" s="60">
        <f t="shared" si="2"/>
        <v>1788.1704157431</v>
      </c>
    </row>
    <row r="16" hidden="1" spans="1:27">
      <c r="A16" s="7" t="s">
        <v>33</v>
      </c>
      <c r="B16" s="7" t="s">
        <v>34</v>
      </c>
      <c r="C16" s="7" t="s">
        <v>48</v>
      </c>
      <c r="D16" s="7" t="s">
        <v>51</v>
      </c>
      <c r="E16" s="7" t="s">
        <v>37</v>
      </c>
      <c r="F16" s="7" t="s">
        <v>38</v>
      </c>
      <c r="G16" s="7"/>
      <c r="H16" s="18">
        <v>1.79</v>
      </c>
      <c r="I16" s="18">
        <v>0.171</v>
      </c>
      <c r="J16" s="18">
        <v>0.31</v>
      </c>
      <c r="K16" s="7">
        <v>160</v>
      </c>
      <c r="L16" s="13" t="s">
        <v>39</v>
      </c>
      <c r="M16" s="13" t="s">
        <v>39</v>
      </c>
      <c r="N16" s="13">
        <v>2.2</v>
      </c>
      <c r="O16" s="13">
        <v>7.2</v>
      </c>
      <c r="P16" s="13">
        <v>18</v>
      </c>
      <c r="Q16" s="13">
        <v>140</v>
      </c>
      <c r="R16" s="13">
        <v>540</v>
      </c>
      <c r="S16" s="7" t="s">
        <v>39</v>
      </c>
      <c r="T16" s="7" t="s">
        <v>39</v>
      </c>
      <c r="U16" s="7" t="s">
        <v>39</v>
      </c>
      <c r="V16" s="7" t="s">
        <v>39</v>
      </c>
      <c r="W16" s="7" t="s">
        <v>39</v>
      </c>
      <c r="X16" s="7" t="s">
        <v>39</v>
      </c>
      <c r="Y16" s="14">
        <f t="shared" si="0"/>
        <v>0.551612903225806</v>
      </c>
      <c r="Z16" s="60">
        <f t="shared" si="1"/>
        <v>75</v>
      </c>
      <c r="AA16" s="60">
        <f t="shared" si="2"/>
        <v>237.5</v>
      </c>
    </row>
    <row r="17" hidden="1" spans="1:27">
      <c r="A17" s="7" t="s">
        <v>33</v>
      </c>
      <c r="B17" s="7" t="s">
        <v>34</v>
      </c>
      <c r="C17" s="7" t="s">
        <v>48</v>
      </c>
      <c r="D17" s="7" t="s">
        <v>52</v>
      </c>
      <c r="E17" s="7" t="s">
        <v>37</v>
      </c>
      <c r="F17" s="7" t="s">
        <v>38</v>
      </c>
      <c r="G17" s="7"/>
      <c r="H17" s="18">
        <v>2.66</v>
      </c>
      <c r="I17" s="18">
        <v>0.228</v>
      </c>
      <c r="J17" s="18">
        <v>0.47</v>
      </c>
      <c r="K17" s="7">
        <v>180</v>
      </c>
      <c r="L17" s="13" t="s">
        <v>39</v>
      </c>
      <c r="M17" s="13" t="s">
        <v>39</v>
      </c>
      <c r="N17" s="13">
        <v>3.9</v>
      </c>
      <c r="O17" s="13">
        <v>11</v>
      </c>
      <c r="P17" s="13">
        <v>28</v>
      </c>
      <c r="Q17" s="13">
        <v>220</v>
      </c>
      <c r="R17" s="13">
        <v>910</v>
      </c>
      <c r="S17" s="7" t="s">
        <v>39</v>
      </c>
      <c r="T17" s="7" t="s">
        <v>39</v>
      </c>
      <c r="U17" s="7" t="s">
        <v>39</v>
      </c>
      <c r="V17" s="7" t="s">
        <v>39</v>
      </c>
      <c r="W17" s="7" t="s">
        <v>39</v>
      </c>
      <c r="X17" s="7" t="s">
        <v>39</v>
      </c>
      <c r="Y17" s="14">
        <f t="shared" si="0"/>
        <v>0.485106382978723</v>
      </c>
      <c r="Z17" s="60">
        <f t="shared" si="1"/>
        <v>82.7272727272727</v>
      </c>
      <c r="AA17" s="60">
        <f t="shared" si="2"/>
        <v>207.272727272727</v>
      </c>
    </row>
    <row r="18" hidden="1" spans="1:27">
      <c r="A18" s="7" t="s">
        <v>33</v>
      </c>
      <c r="B18" s="7" t="s">
        <v>34</v>
      </c>
      <c r="C18" s="7" t="s">
        <v>48</v>
      </c>
      <c r="D18" s="7" t="s">
        <v>53</v>
      </c>
      <c r="E18" s="7" t="s">
        <v>37</v>
      </c>
      <c r="F18" s="7" t="s">
        <v>38</v>
      </c>
      <c r="G18" s="7"/>
      <c r="H18" s="18">
        <v>2</v>
      </c>
      <c r="I18" s="18">
        <v>0.1805</v>
      </c>
      <c r="J18" s="18">
        <v>0.4</v>
      </c>
      <c r="K18" s="7">
        <v>140</v>
      </c>
      <c r="L18" s="13" t="s">
        <v>39</v>
      </c>
      <c r="M18" s="13">
        <v>3</v>
      </c>
      <c r="N18" s="13">
        <v>2.7</v>
      </c>
      <c r="O18" s="13">
        <v>8.8</v>
      </c>
      <c r="P18" s="13">
        <v>22</v>
      </c>
      <c r="Q18" s="13">
        <v>170</v>
      </c>
      <c r="R18" s="13">
        <v>880</v>
      </c>
      <c r="S18" s="7" t="s">
        <v>39</v>
      </c>
      <c r="T18" s="7" t="s">
        <v>39</v>
      </c>
      <c r="U18" s="7" t="s">
        <v>39</v>
      </c>
      <c r="V18" s="7" t="s">
        <v>39</v>
      </c>
      <c r="W18" s="7" t="s">
        <v>39</v>
      </c>
      <c r="X18" s="7" t="s">
        <v>39</v>
      </c>
      <c r="Y18" s="14">
        <f t="shared" si="0"/>
        <v>0.45125</v>
      </c>
      <c r="Z18" s="60">
        <f t="shared" si="1"/>
        <v>100</v>
      </c>
      <c r="AA18" s="60">
        <f t="shared" si="2"/>
        <v>205.113636363636</v>
      </c>
    </row>
    <row r="19" hidden="1" spans="1:27">
      <c r="A19" s="7" t="s">
        <v>33</v>
      </c>
      <c r="B19" s="7" t="s">
        <v>34</v>
      </c>
      <c r="C19" s="7" t="s">
        <v>48</v>
      </c>
      <c r="D19" s="7" t="s">
        <v>54</v>
      </c>
      <c r="E19" s="7" t="s">
        <v>37</v>
      </c>
      <c r="F19" s="7" t="s">
        <v>38</v>
      </c>
      <c r="G19" s="7"/>
      <c r="H19" s="18">
        <v>1.96</v>
      </c>
      <c r="I19" s="18">
        <v>0.1805</v>
      </c>
      <c r="J19" s="18">
        <v>0.4</v>
      </c>
      <c r="K19" s="7">
        <v>140</v>
      </c>
      <c r="L19" s="13" t="s">
        <v>39</v>
      </c>
      <c r="M19" s="13" t="s">
        <v>39</v>
      </c>
      <c r="N19" s="13">
        <v>2.7</v>
      </c>
      <c r="O19" s="13">
        <v>8.7</v>
      </c>
      <c r="P19" s="13">
        <v>22</v>
      </c>
      <c r="Q19" s="13">
        <v>150</v>
      </c>
      <c r="R19" s="13">
        <v>940</v>
      </c>
      <c r="S19" s="7" t="s">
        <v>39</v>
      </c>
      <c r="T19" s="7" t="s">
        <v>39</v>
      </c>
      <c r="U19" s="7" t="s">
        <v>39</v>
      </c>
      <c r="V19" s="7" t="s">
        <v>39</v>
      </c>
      <c r="W19" s="7" t="s">
        <v>39</v>
      </c>
      <c r="X19" s="7" t="s">
        <v>39</v>
      </c>
      <c r="Y19" s="14">
        <f t="shared" si="0"/>
        <v>0.45125</v>
      </c>
      <c r="Z19" s="60">
        <f t="shared" si="1"/>
        <v>108.045977011494</v>
      </c>
      <c r="AA19" s="60">
        <f t="shared" si="2"/>
        <v>207.471264367816</v>
      </c>
    </row>
    <row r="20" hidden="1" spans="1:27">
      <c r="A20" s="7" t="s">
        <v>33</v>
      </c>
      <c r="B20" s="7" t="s">
        <v>34</v>
      </c>
      <c r="C20" s="7" t="s">
        <v>48</v>
      </c>
      <c r="D20" s="7" t="s">
        <v>55</v>
      </c>
      <c r="E20" s="7" t="s">
        <v>37</v>
      </c>
      <c r="F20" s="7" t="s">
        <v>38</v>
      </c>
      <c r="G20" s="7"/>
      <c r="H20" s="18">
        <v>5.26</v>
      </c>
      <c r="I20" s="18">
        <v>0.456</v>
      </c>
      <c r="J20" s="18">
        <v>1.6</v>
      </c>
      <c r="K20" s="7">
        <v>260</v>
      </c>
      <c r="L20" s="13" t="s">
        <v>39</v>
      </c>
      <c r="M20" s="13" t="s">
        <v>39</v>
      </c>
      <c r="N20" s="13">
        <v>6.2</v>
      </c>
      <c r="O20" s="13">
        <v>21</v>
      </c>
      <c r="P20" s="13">
        <v>47</v>
      </c>
      <c r="Q20" s="13">
        <v>790</v>
      </c>
      <c r="R20" s="13">
        <v>2800</v>
      </c>
      <c r="S20" s="7" t="s">
        <v>39</v>
      </c>
      <c r="T20" s="7" t="s">
        <v>39</v>
      </c>
      <c r="U20" s="7" t="s">
        <v>39</v>
      </c>
      <c r="V20" s="7" t="s">
        <v>39</v>
      </c>
      <c r="W20" s="7" t="s">
        <v>39</v>
      </c>
      <c r="X20" s="7" t="s">
        <v>39</v>
      </c>
      <c r="Y20" s="14">
        <f t="shared" si="0"/>
        <v>0.285</v>
      </c>
      <c r="Z20" s="60">
        <f t="shared" si="1"/>
        <v>133.333333333333</v>
      </c>
      <c r="AA20" s="60">
        <f t="shared" si="2"/>
        <v>217.142857142857</v>
      </c>
    </row>
    <row r="21" hidden="1" spans="1:27">
      <c r="A21" s="7" t="s">
        <v>33</v>
      </c>
      <c r="B21" s="7" t="s">
        <v>34</v>
      </c>
      <c r="C21" s="7" t="s">
        <v>48</v>
      </c>
      <c r="D21" s="7" t="s">
        <v>56</v>
      </c>
      <c r="E21" s="7" t="s">
        <v>37</v>
      </c>
      <c r="F21" s="7" t="s">
        <v>38</v>
      </c>
      <c r="G21" s="7"/>
      <c r="H21" s="18">
        <v>0.63</v>
      </c>
      <c r="I21" s="18">
        <v>0.058</v>
      </c>
      <c r="J21" s="18">
        <v>0.096</v>
      </c>
      <c r="K21" s="7">
        <v>81</v>
      </c>
      <c r="L21" s="13" t="s">
        <v>39</v>
      </c>
      <c r="M21" s="13" t="s">
        <v>39</v>
      </c>
      <c r="N21" s="13">
        <v>1.5</v>
      </c>
      <c r="O21" s="13">
        <v>4.7</v>
      </c>
      <c r="P21" s="13">
        <v>7.9</v>
      </c>
      <c r="Q21" s="13">
        <v>76</v>
      </c>
      <c r="R21" s="13">
        <v>200</v>
      </c>
      <c r="S21" s="7" t="s">
        <v>39</v>
      </c>
      <c r="T21" s="7" t="s">
        <v>39</v>
      </c>
      <c r="U21" s="7" t="s">
        <v>39</v>
      </c>
      <c r="V21" s="7" t="s">
        <v>39</v>
      </c>
      <c r="W21" s="7" t="s">
        <v>39</v>
      </c>
      <c r="X21" s="7" t="s">
        <v>39</v>
      </c>
      <c r="Y21" s="14">
        <f t="shared" si="0"/>
        <v>0.604166666666667</v>
      </c>
      <c r="Z21" s="60">
        <f t="shared" si="1"/>
        <v>42.5531914893617</v>
      </c>
      <c r="AA21" s="60">
        <f t="shared" si="2"/>
        <v>123.404255319149</v>
      </c>
    </row>
    <row r="22" hidden="1" spans="1:27">
      <c r="A22" s="7" t="s">
        <v>33</v>
      </c>
      <c r="B22" s="7" t="s">
        <v>34</v>
      </c>
      <c r="C22" s="7" t="s">
        <v>48</v>
      </c>
      <c r="D22" s="7" t="s">
        <v>57</v>
      </c>
      <c r="E22" s="7" t="s">
        <v>37</v>
      </c>
      <c r="F22" s="7" t="s">
        <v>38</v>
      </c>
      <c r="G22" s="7"/>
      <c r="H22" s="18">
        <v>6.15</v>
      </c>
      <c r="I22" s="18">
        <v>0.57</v>
      </c>
      <c r="J22" s="18">
        <v>6.37</v>
      </c>
      <c r="K22" s="7">
        <v>200</v>
      </c>
      <c r="L22" s="13">
        <v>2.65</v>
      </c>
      <c r="M22" s="13">
        <v>1.3</v>
      </c>
      <c r="N22" s="13">
        <v>1.4</v>
      </c>
      <c r="O22" s="13">
        <v>5</v>
      </c>
      <c r="P22" s="13">
        <v>6.4</v>
      </c>
      <c r="Q22" s="13">
        <v>2250</v>
      </c>
      <c r="R22" s="13">
        <v>12000</v>
      </c>
      <c r="S22" s="18">
        <v>0.62</v>
      </c>
      <c r="T22" s="14">
        <v>16.4</v>
      </c>
      <c r="U22" s="18">
        <v>5.4</v>
      </c>
      <c r="V22" s="18">
        <v>0.38</v>
      </c>
      <c r="W22" s="18">
        <v>3.7</v>
      </c>
      <c r="X22" s="18">
        <v>2.5</v>
      </c>
      <c r="Y22" s="14">
        <f t="shared" si="0"/>
        <v>0.0894819466248038</v>
      </c>
      <c r="Z22" s="60">
        <f t="shared" si="1"/>
        <v>2400</v>
      </c>
      <c r="AA22" s="60">
        <f t="shared" si="2"/>
        <v>1140</v>
      </c>
    </row>
    <row r="23" hidden="1" spans="1:27">
      <c r="A23" s="7" t="s">
        <v>33</v>
      </c>
      <c r="B23" s="7" t="s">
        <v>34</v>
      </c>
      <c r="C23" s="7" t="s">
        <v>48</v>
      </c>
      <c r="D23" s="7" t="s">
        <v>58</v>
      </c>
      <c r="E23" s="7" t="s">
        <v>37</v>
      </c>
      <c r="F23" s="7" t="s">
        <v>38</v>
      </c>
      <c r="G23" s="7"/>
      <c r="H23" s="18">
        <v>7.18</v>
      </c>
      <c r="I23" s="18">
        <v>0.6543</v>
      </c>
      <c r="J23" s="18">
        <v>7.5</v>
      </c>
      <c r="K23" s="7">
        <v>197</v>
      </c>
      <c r="L23" s="13" t="s">
        <v>39</v>
      </c>
      <c r="M23" s="13" t="s">
        <v>39</v>
      </c>
      <c r="N23" s="13">
        <v>5</v>
      </c>
      <c r="O23" s="13">
        <v>5</v>
      </c>
      <c r="P23" s="13">
        <v>9.7</v>
      </c>
      <c r="Q23" s="13">
        <v>4600</v>
      </c>
      <c r="R23" s="13">
        <v>13000</v>
      </c>
      <c r="S23" s="18">
        <v>0.39</v>
      </c>
      <c r="T23" s="7" t="s">
        <v>39</v>
      </c>
      <c r="U23" s="18">
        <v>6.8</v>
      </c>
      <c r="V23" s="18">
        <v>0.31</v>
      </c>
      <c r="W23" s="7" t="s">
        <v>39</v>
      </c>
      <c r="X23" s="18">
        <v>2.8</v>
      </c>
      <c r="Y23" s="14">
        <f t="shared" si="0"/>
        <v>0.08724</v>
      </c>
      <c r="Z23" s="60">
        <f t="shared" si="1"/>
        <v>2600</v>
      </c>
      <c r="AA23" s="60">
        <f t="shared" si="2"/>
        <v>1308.6</v>
      </c>
    </row>
    <row r="24" hidden="1" spans="1:27">
      <c r="A24" s="7" t="s">
        <v>33</v>
      </c>
      <c r="B24" s="7" t="s">
        <v>59</v>
      </c>
      <c r="C24" s="7" t="s">
        <v>60</v>
      </c>
      <c r="D24" s="7" t="s">
        <v>61</v>
      </c>
      <c r="E24" s="7" t="s">
        <v>37</v>
      </c>
      <c r="F24" s="7" t="s">
        <v>38</v>
      </c>
      <c r="G24" s="7"/>
      <c r="H24" s="18">
        <v>9.35</v>
      </c>
      <c r="I24" s="18">
        <v>0.99</v>
      </c>
      <c r="J24" s="18">
        <v>4.9</v>
      </c>
      <c r="K24" s="7">
        <v>520</v>
      </c>
      <c r="L24" s="13" t="s">
        <v>39</v>
      </c>
      <c r="M24" s="13" t="s">
        <v>39</v>
      </c>
      <c r="N24" s="13">
        <v>5.7</v>
      </c>
      <c r="O24" s="13">
        <v>8.7</v>
      </c>
      <c r="P24" s="13">
        <v>63.7</v>
      </c>
      <c r="Q24" s="13">
        <v>2670</v>
      </c>
      <c r="R24" s="13">
        <v>7470</v>
      </c>
      <c r="S24" s="18">
        <v>0.85</v>
      </c>
      <c r="T24" s="7" t="s">
        <v>39</v>
      </c>
      <c r="U24" s="18">
        <v>3.7</v>
      </c>
      <c r="V24" s="18">
        <v>0.24</v>
      </c>
      <c r="W24" s="7" t="s">
        <v>39</v>
      </c>
      <c r="X24" s="18">
        <v>1.8</v>
      </c>
      <c r="Y24" s="14">
        <f t="shared" si="0"/>
        <v>0.202040816326531</v>
      </c>
      <c r="Z24" s="60">
        <f t="shared" si="1"/>
        <v>858.620689655172</v>
      </c>
      <c r="AA24" s="60">
        <f t="shared" si="2"/>
        <v>1137.93103448276</v>
      </c>
    </row>
    <row r="25" hidden="1" spans="1:27">
      <c r="A25" s="7" t="s">
        <v>33</v>
      </c>
      <c r="B25" s="8" t="s">
        <v>59</v>
      </c>
      <c r="C25" s="8" t="s">
        <v>62</v>
      </c>
      <c r="D25" s="8" t="s">
        <v>63</v>
      </c>
      <c r="E25" s="7" t="s">
        <v>37</v>
      </c>
      <c r="F25" s="7" t="s">
        <v>50</v>
      </c>
      <c r="G25" s="52"/>
      <c r="H25" s="53">
        <v>5.3</v>
      </c>
      <c r="I25" s="53">
        <v>0.9</v>
      </c>
      <c r="J25" s="53">
        <v>1.6</v>
      </c>
      <c r="K25" s="8">
        <v>393</v>
      </c>
      <c r="L25" s="13" t="s">
        <v>39</v>
      </c>
      <c r="M25" s="13" t="s">
        <v>39</v>
      </c>
      <c r="N25" s="13">
        <v>23.1064147583579</v>
      </c>
      <c r="O25" s="13">
        <v>73.101341363146</v>
      </c>
      <c r="P25" s="13">
        <v>198.392047995087</v>
      </c>
      <c r="Q25" s="13">
        <v>1482.15502769083</v>
      </c>
      <c r="R25" s="13">
        <v>7666.54577585991</v>
      </c>
      <c r="S25" s="53">
        <v>4.1</v>
      </c>
      <c r="T25" s="56">
        <v>13</v>
      </c>
      <c r="U25" s="7" t="s">
        <v>39</v>
      </c>
      <c r="V25" s="53">
        <v>0.11</v>
      </c>
      <c r="W25" s="53">
        <v>1.24</v>
      </c>
      <c r="X25" s="53">
        <v>0.15</v>
      </c>
      <c r="Y25" s="14">
        <f t="shared" si="0"/>
        <v>0.5625</v>
      </c>
      <c r="Z25" s="60">
        <f t="shared" si="1"/>
        <v>104.875582758116</v>
      </c>
      <c r="AA25" s="60">
        <f t="shared" si="2"/>
        <v>123.116755892216</v>
      </c>
    </row>
    <row r="26" hidden="1" spans="1:27">
      <c r="A26" s="7" t="s">
        <v>33</v>
      </c>
      <c r="B26" s="7" t="s">
        <v>59</v>
      </c>
      <c r="C26" s="7" t="s">
        <v>64</v>
      </c>
      <c r="D26" s="7" t="s">
        <v>65</v>
      </c>
      <c r="E26" s="7" t="s">
        <v>37</v>
      </c>
      <c r="F26" s="7" t="s">
        <v>38</v>
      </c>
      <c r="G26" s="7"/>
      <c r="H26" s="18">
        <v>0.32</v>
      </c>
      <c r="I26" s="18">
        <v>0.0219</v>
      </c>
      <c r="J26" s="18">
        <v>0.065</v>
      </c>
      <c r="K26" s="7">
        <v>57</v>
      </c>
      <c r="L26" s="13" t="s">
        <v>39</v>
      </c>
      <c r="M26" s="13" t="s">
        <v>39</v>
      </c>
      <c r="N26" s="13">
        <v>0.5</v>
      </c>
      <c r="O26" s="13">
        <v>0.6</v>
      </c>
      <c r="P26" s="13">
        <v>1.5</v>
      </c>
      <c r="Q26" s="13">
        <v>28</v>
      </c>
      <c r="R26" s="13">
        <v>66</v>
      </c>
      <c r="S26" s="7" t="s">
        <v>39</v>
      </c>
      <c r="T26" s="7" t="s">
        <v>39</v>
      </c>
      <c r="U26" s="7" t="s">
        <v>39</v>
      </c>
      <c r="V26" s="7" t="s">
        <v>39</v>
      </c>
      <c r="W26" s="7" t="s">
        <v>39</v>
      </c>
      <c r="X26" s="7" t="s">
        <v>39</v>
      </c>
      <c r="Y26" s="14">
        <f t="shared" si="0"/>
        <v>0.336923076923077</v>
      </c>
      <c r="Z26" s="60">
        <f t="shared" si="1"/>
        <v>110</v>
      </c>
      <c r="AA26" s="60">
        <f t="shared" si="2"/>
        <v>365</v>
      </c>
    </row>
    <row r="27" hidden="1" spans="1:27">
      <c r="A27" s="7" t="s">
        <v>33</v>
      </c>
      <c r="B27" s="7" t="s">
        <v>59</v>
      </c>
      <c r="C27" s="7" t="s">
        <v>64</v>
      </c>
      <c r="D27" s="7" t="s">
        <v>66</v>
      </c>
      <c r="E27" s="7" t="s">
        <v>37</v>
      </c>
      <c r="F27" s="7" t="s">
        <v>38</v>
      </c>
      <c r="G27" s="7"/>
      <c r="H27" s="18">
        <v>0.47</v>
      </c>
      <c r="I27" s="7" t="s">
        <v>39</v>
      </c>
      <c r="J27" s="18">
        <v>0.0018</v>
      </c>
      <c r="K27" s="7">
        <v>29</v>
      </c>
      <c r="L27" s="13" t="s">
        <v>39</v>
      </c>
      <c r="M27" s="13" t="s">
        <v>39</v>
      </c>
      <c r="N27" s="13">
        <v>0.5</v>
      </c>
      <c r="O27" s="13">
        <v>0.5</v>
      </c>
      <c r="P27" s="13">
        <v>0.5</v>
      </c>
      <c r="Q27" s="13">
        <v>0.5</v>
      </c>
      <c r="R27" s="13">
        <v>0.5</v>
      </c>
      <c r="S27" s="7" t="s">
        <v>39</v>
      </c>
      <c r="T27" s="7" t="s">
        <v>39</v>
      </c>
      <c r="U27" s="7" t="s">
        <v>39</v>
      </c>
      <c r="V27" s="7" t="s">
        <v>39</v>
      </c>
      <c r="W27" s="7" t="s">
        <v>39</v>
      </c>
      <c r="X27" s="7" t="s">
        <v>39</v>
      </c>
      <c r="Y27" s="7"/>
      <c r="Z27" s="60">
        <f t="shared" si="1"/>
        <v>1</v>
      </c>
      <c r="AA27" s="7"/>
    </row>
    <row r="28" hidden="1" spans="1:27">
      <c r="A28" s="7" t="s">
        <v>33</v>
      </c>
      <c r="B28" s="7" t="s">
        <v>59</v>
      </c>
      <c r="C28" s="7" t="s">
        <v>64</v>
      </c>
      <c r="D28" s="7" t="s">
        <v>67</v>
      </c>
      <c r="E28" s="7" t="s">
        <v>37</v>
      </c>
      <c r="F28" s="7" t="s">
        <v>38</v>
      </c>
      <c r="G28" s="7"/>
      <c r="H28" s="18">
        <v>0.56</v>
      </c>
      <c r="I28" s="18">
        <v>0.0903</v>
      </c>
      <c r="J28" s="18">
        <v>0.15</v>
      </c>
      <c r="K28" s="7">
        <v>70</v>
      </c>
      <c r="L28" s="13" t="s">
        <v>39</v>
      </c>
      <c r="M28" s="13" t="s">
        <v>39</v>
      </c>
      <c r="N28" s="13">
        <v>3</v>
      </c>
      <c r="O28" s="13">
        <v>9.2</v>
      </c>
      <c r="P28" s="13">
        <v>28</v>
      </c>
      <c r="Q28" s="13">
        <v>190</v>
      </c>
      <c r="R28" s="13">
        <v>510</v>
      </c>
      <c r="S28" s="7" t="s">
        <v>39</v>
      </c>
      <c r="T28" s="7" t="s">
        <v>39</v>
      </c>
      <c r="U28" s="7" t="s">
        <v>39</v>
      </c>
      <c r="V28" s="7" t="s">
        <v>39</v>
      </c>
      <c r="W28" s="7" t="s">
        <v>39</v>
      </c>
      <c r="X28" s="7" t="s">
        <v>39</v>
      </c>
      <c r="Y28" s="14">
        <f t="shared" ref="Y28" si="3">I28/J28</f>
        <v>0.602</v>
      </c>
      <c r="Z28" s="60">
        <f t="shared" si="1"/>
        <v>55.4347826086957</v>
      </c>
      <c r="AA28" s="60">
        <f t="shared" ref="AA28" si="4">I28*10000/O28</f>
        <v>98.1521739130435</v>
      </c>
    </row>
    <row r="29" hidden="1" spans="1:27">
      <c r="A29" s="7" t="s">
        <v>33</v>
      </c>
      <c r="B29" s="7" t="s">
        <v>59</v>
      </c>
      <c r="C29" s="7" t="s">
        <v>64</v>
      </c>
      <c r="D29" s="7" t="s">
        <v>68</v>
      </c>
      <c r="E29" s="7" t="s">
        <v>37</v>
      </c>
      <c r="F29" s="7" t="s">
        <v>38</v>
      </c>
      <c r="G29" s="7"/>
      <c r="H29" s="18">
        <v>0.94</v>
      </c>
      <c r="I29" s="7" t="s">
        <v>39</v>
      </c>
      <c r="J29" s="18">
        <v>0.009</v>
      </c>
      <c r="K29" s="7">
        <v>14</v>
      </c>
      <c r="L29" s="13" t="s">
        <v>39</v>
      </c>
      <c r="M29" s="13" t="s">
        <v>39</v>
      </c>
      <c r="N29" s="13">
        <v>0.5</v>
      </c>
      <c r="O29" s="13">
        <v>0.5</v>
      </c>
      <c r="P29" s="13">
        <v>0.5</v>
      </c>
      <c r="Q29" s="13">
        <v>0.5</v>
      </c>
      <c r="R29" s="13">
        <v>0.5</v>
      </c>
      <c r="S29" s="7" t="s">
        <v>39</v>
      </c>
      <c r="T29" s="7" t="s">
        <v>39</v>
      </c>
      <c r="U29" s="7" t="s">
        <v>39</v>
      </c>
      <c r="V29" s="7" t="s">
        <v>39</v>
      </c>
      <c r="W29" s="7" t="s">
        <v>39</v>
      </c>
      <c r="X29" s="7" t="s">
        <v>39</v>
      </c>
      <c r="Y29" s="7"/>
      <c r="Z29" s="60">
        <f t="shared" si="1"/>
        <v>1</v>
      </c>
      <c r="AA29" s="7"/>
    </row>
    <row r="30" hidden="1" spans="1:27">
      <c r="A30" s="7" t="s">
        <v>33</v>
      </c>
      <c r="B30" s="7" t="s">
        <v>59</v>
      </c>
      <c r="C30" s="7" t="s">
        <v>64</v>
      </c>
      <c r="D30" s="7" t="s">
        <v>69</v>
      </c>
      <c r="E30" s="7" t="s">
        <v>37</v>
      </c>
      <c r="F30" s="7" t="s">
        <v>38</v>
      </c>
      <c r="G30" s="7"/>
      <c r="H30" s="18">
        <v>1.22</v>
      </c>
      <c r="I30" s="18">
        <v>0.2755</v>
      </c>
      <c r="J30" s="18">
        <v>0.52</v>
      </c>
      <c r="K30" s="7">
        <v>170</v>
      </c>
      <c r="L30" s="13" t="s">
        <v>39</v>
      </c>
      <c r="M30" s="13" t="s">
        <v>39</v>
      </c>
      <c r="N30" s="13">
        <v>6.7</v>
      </c>
      <c r="O30" s="13">
        <v>19</v>
      </c>
      <c r="P30" s="13">
        <v>46</v>
      </c>
      <c r="Q30" s="13">
        <v>370</v>
      </c>
      <c r="R30" s="13">
        <v>1200</v>
      </c>
      <c r="S30" s="7" t="s">
        <v>39</v>
      </c>
      <c r="T30" s="7" t="s">
        <v>39</v>
      </c>
      <c r="U30" s="7" t="s">
        <v>39</v>
      </c>
      <c r="V30" s="7" t="s">
        <v>39</v>
      </c>
      <c r="W30" s="7" t="s">
        <v>39</v>
      </c>
      <c r="X30" s="7" t="s">
        <v>39</v>
      </c>
      <c r="Y30" s="14">
        <f t="shared" ref="Y30" si="5">I30/J30</f>
        <v>0.529807692307692</v>
      </c>
      <c r="Z30" s="60">
        <f t="shared" ref="Z30" si="6">R30/O30</f>
        <v>63.1578947368421</v>
      </c>
      <c r="AA30" s="60">
        <f t="shared" ref="AA30" si="7">I30*10000/O30</f>
        <v>145</v>
      </c>
    </row>
    <row r="31" hidden="1" spans="1:27">
      <c r="A31" s="7" t="s">
        <v>33</v>
      </c>
      <c r="B31" s="7" t="s">
        <v>59</v>
      </c>
      <c r="C31" s="7" t="s">
        <v>64</v>
      </c>
      <c r="D31" s="7" t="s">
        <v>70</v>
      </c>
      <c r="E31" s="7" t="s">
        <v>37</v>
      </c>
      <c r="F31" s="7" t="s">
        <v>38</v>
      </c>
      <c r="G31" s="7"/>
      <c r="H31" s="18">
        <v>1.88</v>
      </c>
      <c r="I31" s="18">
        <v>0.399</v>
      </c>
      <c r="J31" s="18">
        <v>0.57</v>
      </c>
      <c r="K31" s="7">
        <v>190</v>
      </c>
      <c r="L31" s="13">
        <v>6.08</v>
      </c>
      <c r="M31" s="13">
        <v>9.96</v>
      </c>
      <c r="N31" s="13">
        <v>15</v>
      </c>
      <c r="O31" s="13">
        <v>40</v>
      </c>
      <c r="P31" s="13">
        <v>110</v>
      </c>
      <c r="Q31" s="13">
        <v>790</v>
      </c>
      <c r="R31" s="13">
        <v>2200</v>
      </c>
      <c r="S31" s="7" t="s">
        <v>39</v>
      </c>
      <c r="T31" s="7" t="s">
        <v>39</v>
      </c>
      <c r="U31" s="7" t="s">
        <v>39</v>
      </c>
      <c r="V31" s="7" t="s">
        <v>39</v>
      </c>
      <c r="W31" s="7" t="s">
        <v>39</v>
      </c>
      <c r="X31" s="7" t="s">
        <v>39</v>
      </c>
      <c r="Y31" s="14">
        <f t="shared" ref="Y31:Y94" si="8">I31/J31</f>
        <v>0.7</v>
      </c>
      <c r="Z31" s="60">
        <f t="shared" ref="Z31:Z94" si="9">R31/O31</f>
        <v>55</v>
      </c>
      <c r="AA31" s="60">
        <f t="shared" ref="AA31:AA94" si="10">I31*10000/O31</f>
        <v>99.75</v>
      </c>
    </row>
    <row r="32" hidden="1" spans="1:27">
      <c r="A32" s="7" t="s">
        <v>33</v>
      </c>
      <c r="B32" s="7" t="s">
        <v>59</v>
      </c>
      <c r="C32" s="7" t="s">
        <v>64</v>
      </c>
      <c r="D32" s="7" t="s">
        <v>71</v>
      </c>
      <c r="E32" s="7" t="s">
        <v>37</v>
      </c>
      <c r="F32" s="7" t="s">
        <v>38</v>
      </c>
      <c r="G32" s="7"/>
      <c r="H32" s="18">
        <v>4.09</v>
      </c>
      <c r="I32" s="18">
        <v>0.684</v>
      </c>
      <c r="J32" s="18">
        <v>0.87</v>
      </c>
      <c r="K32" s="7">
        <v>270</v>
      </c>
      <c r="L32" s="13" t="s">
        <v>39</v>
      </c>
      <c r="M32" s="13" t="s">
        <v>39</v>
      </c>
      <c r="N32" s="13">
        <v>18</v>
      </c>
      <c r="O32" s="13">
        <v>54</v>
      </c>
      <c r="P32" s="13">
        <v>160</v>
      </c>
      <c r="Q32" s="13">
        <v>750</v>
      </c>
      <c r="R32" s="13">
        <v>2800</v>
      </c>
      <c r="S32" s="7" t="s">
        <v>39</v>
      </c>
      <c r="T32" s="7" t="s">
        <v>39</v>
      </c>
      <c r="U32" s="7" t="s">
        <v>39</v>
      </c>
      <c r="V32" s="7" t="s">
        <v>39</v>
      </c>
      <c r="W32" s="7" t="s">
        <v>39</v>
      </c>
      <c r="X32" s="7" t="s">
        <v>39</v>
      </c>
      <c r="Y32" s="14">
        <f t="shared" si="8"/>
        <v>0.786206896551724</v>
      </c>
      <c r="Z32" s="60">
        <f t="shared" si="9"/>
        <v>51.8518518518519</v>
      </c>
      <c r="AA32" s="60">
        <f t="shared" si="10"/>
        <v>126.666666666667</v>
      </c>
    </row>
    <row r="33" hidden="1" spans="1:27">
      <c r="A33" s="7" t="s">
        <v>33</v>
      </c>
      <c r="B33" s="7" t="s">
        <v>59</v>
      </c>
      <c r="C33" s="7" t="s">
        <v>64</v>
      </c>
      <c r="D33" s="7" t="s">
        <v>72</v>
      </c>
      <c r="E33" s="7" t="s">
        <v>37</v>
      </c>
      <c r="F33" s="7" t="s">
        <v>38</v>
      </c>
      <c r="G33" s="7"/>
      <c r="H33" s="18">
        <v>4.66</v>
      </c>
      <c r="I33" s="18">
        <v>0.646</v>
      </c>
      <c r="J33" s="18">
        <v>1.7</v>
      </c>
      <c r="K33" s="7">
        <v>240</v>
      </c>
      <c r="L33" s="13" t="s">
        <v>39</v>
      </c>
      <c r="M33" s="13" t="s">
        <v>39</v>
      </c>
      <c r="N33" s="13">
        <v>11</v>
      </c>
      <c r="O33" s="13">
        <v>36</v>
      </c>
      <c r="P33" s="13">
        <v>120</v>
      </c>
      <c r="Q33" s="13">
        <v>670</v>
      </c>
      <c r="R33" s="13">
        <v>5200</v>
      </c>
      <c r="S33" s="7" t="s">
        <v>39</v>
      </c>
      <c r="T33" s="7" t="s">
        <v>39</v>
      </c>
      <c r="U33" s="7" t="s">
        <v>39</v>
      </c>
      <c r="V33" s="7" t="s">
        <v>39</v>
      </c>
      <c r="W33" s="7" t="s">
        <v>39</v>
      </c>
      <c r="X33" s="7" t="s">
        <v>39</v>
      </c>
      <c r="Y33" s="14">
        <f t="shared" si="8"/>
        <v>0.38</v>
      </c>
      <c r="Z33" s="60">
        <f t="shared" si="9"/>
        <v>144.444444444444</v>
      </c>
      <c r="AA33" s="60">
        <f t="shared" si="10"/>
        <v>179.444444444444</v>
      </c>
    </row>
    <row r="34" hidden="1" spans="1:27">
      <c r="A34" s="7" t="s">
        <v>33</v>
      </c>
      <c r="B34" s="7" t="s">
        <v>59</v>
      </c>
      <c r="C34" s="7" t="s">
        <v>64</v>
      </c>
      <c r="D34" s="7" t="s">
        <v>73</v>
      </c>
      <c r="E34" s="7" t="s">
        <v>37</v>
      </c>
      <c r="F34" s="7" t="s">
        <v>38</v>
      </c>
      <c r="G34" s="7"/>
      <c r="H34" s="18">
        <v>5.6</v>
      </c>
      <c r="I34" s="18">
        <v>0.8265</v>
      </c>
      <c r="J34" s="18">
        <v>1.4</v>
      </c>
      <c r="K34" s="7">
        <v>310</v>
      </c>
      <c r="L34" s="13" t="s">
        <v>39</v>
      </c>
      <c r="M34" s="13" t="s">
        <v>39</v>
      </c>
      <c r="N34" s="13">
        <v>21</v>
      </c>
      <c r="O34" s="13">
        <v>63</v>
      </c>
      <c r="P34" s="13">
        <v>190</v>
      </c>
      <c r="Q34" s="13">
        <v>1100</v>
      </c>
      <c r="R34" s="13">
        <v>3500</v>
      </c>
      <c r="S34" s="7" t="s">
        <v>39</v>
      </c>
      <c r="T34" s="7" t="s">
        <v>39</v>
      </c>
      <c r="U34" s="7" t="s">
        <v>39</v>
      </c>
      <c r="V34" s="7" t="s">
        <v>39</v>
      </c>
      <c r="W34" s="7" t="s">
        <v>39</v>
      </c>
      <c r="X34" s="7" t="s">
        <v>39</v>
      </c>
      <c r="Y34" s="14">
        <f t="shared" si="8"/>
        <v>0.590357142857143</v>
      </c>
      <c r="Z34" s="60">
        <f t="shared" si="9"/>
        <v>55.5555555555556</v>
      </c>
      <c r="AA34" s="60">
        <f t="shared" si="10"/>
        <v>131.190476190476</v>
      </c>
    </row>
    <row r="35" hidden="1" spans="1:27">
      <c r="A35" s="7" t="s">
        <v>33</v>
      </c>
      <c r="B35" s="7" t="s">
        <v>59</v>
      </c>
      <c r="C35" s="7" t="s">
        <v>64</v>
      </c>
      <c r="D35" s="7" t="s">
        <v>74</v>
      </c>
      <c r="E35" s="7" t="s">
        <v>37</v>
      </c>
      <c r="F35" s="7" t="s">
        <v>38</v>
      </c>
      <c r="G35" s="7"/>
      <c r="H35" s="18">
        <v>6.88</v>
      </c>
      <c r="I35" s="18">
        <v>1.0615</v>
      </c>
      <c r="J35" s="18">
        <v>1.97</v>
      </c>
      <c r="K35" s="7">
        <v>327</v>
      </c>
      <c r="L35" s="13" t="s">
        <v>39</v>
      </c>
      <c r="M35" s="13" t="s">
        <v>39</v>
      </c>
      <c r="N35" s="13">
        <v>25</v>
      </c>
      <c r="O35" s="13">
        <v>68</v>
      </c>
      <c r="P35" s="13">
        <v>217</v>
      </c>
      <c r="Q35" s="13">
        <v>1530</v>
      </c>
      <c r="R35" s="13">
        <v>6400</v>
      </c>
      <c r="S35" s="18">
        <v>0.18</v>
      </c>
      <c r="T35" s="7" t="s">
        <v>39</v>
      </c>
      <c r="U35" s="18">
        <v>1.2</v>
      </c>
      <c r="V35" s="18">
        <v>0.3</v>
      </c>
      <c r="W35" s="18">
        <v>2.1</v>
      </c>
      <c r="X35" s="18">
        <v>0.61</v>
      </c>
      <c r="Y35" s="14">
        <f t="shared" si="8"/>
        <v>0.538832487309645</v>
      </c>
      <c r="Z35" s="60">
        <f t="shared" si="9"/>
        <v>94.1176470588235</v>
      </c>
      <c r="AA35" s="60">
        <f t="shared" si="10"/>
        <v>156.102941176471</v>
      </c>
    </row>
    <row r="36" hidden="1" spans="1:27">
      <c r="A36" s="7" t="s">
        <v>33</v>
      </c>
      <c r="B36" s="7" t="s">
        <v>34</v>
      </c>
      <c r="C36" s="7" t="s">
        <v>35</v>
      </c>
      <c r="D36" s="7" t="s">
        <v>75</v>
      </c>
      <c r="E36" s="7" t="s">
        <v>76</v>
      </c>
      <c r="F36" s="7" t="s">
        <v>38</v>
      </c>
      <c r="G36" s="7"/>
      <c r="H36" s="18">
        <v>34.3</v>
      </c>
      <c r="I36" s="18">
        <v>5.13</v>
      </c>
      <c r="J36" s="18">
        <v>3.27</v>
      </c>
      <c r="K36" s="7">
        <v>1500</v>
      </c>
      <c r="L36" s="13" t="s">
        <v>39</v>
      </c>
      <c r="M36" s="13" t="s">
        <v>39</v>
      </c>
      <c r="N36" s="13">
        <v>28</v>
      </c>
      <c r="O36" s="13">
        <v>74</v>
      </c>
      <c r="P36" s="13">
        <v>350</v>
      </c>
      <c r="Q36" s="13">
        <v>2130</v>
      </c>
      <c r="R36" s="13">
        <v>11700</v>
      </c>
      <c r="S36" s="18">
        <v>0.49</v>
      </c>
      <c r="T36" s="7" t="s">
        <v>39</v>
      </c>
      <c r="U36" s="18">
        <v>1.1</v>
      </c>
      <c r="V36" s="18">
        <v>0.14</v>
      </c>
      <c r="W36" s="7" t="s">
        <v>39</v>
      </c>
      <c r="X36" s="18">
        <v>0.16</v>
      </c>
      <c r="Y36" s="14">
        <f t="shared" si="8"/>
        <v>1.56880733944954</v>
      </c>
      <c r="Z36" s="60">
        <f t="shared" si="9"/>
        <v>158.108108108108</v>
      </c>
      <c r="AA36" s="60">
        <f t="shared" si="10"/>
        <v>693.243243243243</v>
      </c>
    </row>
    <row r="37" hidden="1" spans="1:27">
      <c r="A37" s="7" t="s">
        <v>33</v>
      </c>
      <c r="B37" s="7" t="s">
        <v>34</v>
      </c>
      <c r="C37" s="7" t="s">
        <v>35</v>
      </c>
      <c r="D37" s="7" t="s">
        <v>77</v>
      </c>
      <c r="E37" s="7" t="s">
        <v>76</v>
      </c>
      <c r="F37" s="7" t="s">
        <v>38</v>
      </c>
      <c r="G37" s="7"/>
      <c r="H37" s="18">
        <v>32.6</v>
      </c>
      <c r="I37" s="18">
        <v>4.743</v>
      </c>
      <c r="J37" s="18">
        <v>4</v>
      </c>
      <c r="K37" s="7">
        <v>1400</v>
      </c>
      <c r="L37" s="13">
        <v>97</v>
      </c>
      <c r="M37" s="13">
        <v>30</v>
      </c>
      <c r="N37" s="13">
        <v>27.5</v>
      </c>
      <c r="O37" s="13">
        <v>92.5</v>
      </c>
      <c r="P37" s="13">
        <v>328.9</v>
      </c>
      <c r="Q37" s="13">
        <v>1600</v>
      </c>
      <c r="R37" s="13">
        <v>9450</v>
      </c>
      <c r="S37" s="18">
        <v>0.09</v>
      </c>
      <c r="T37" s="7" t="s">
        <v>39</v>
      </c>
      <c r="U37" s="18">
        <v>0.96</v>
      </c>
      <c r="V37" s="18">
        <v>0.16</v>
      </c>
      <c r="W37" s="7" t="s">
        <v>39</v>
      </c>
      <c r="X37" s="18">
        <v>0.07</v>
      </c>
      <c r="Y37" s="14">
        <f t="shared" si="8"/>
        <v>1.18575</v>
      </c>
      <c r="Z37" s="60">
        <f t="shared" si="9"/>
        <v>102.162162162162</v>
      </c>
      <c r="AA37" s="60">
        <f t="shared" si="10"/>
        <v>512.756756756757</v>
      </c>
    </row>
    <row r="38" hidden="1" spans="1:27">
      <c r="A38" s="7" t="s">
        <v>33</v>
      </c>
      <c r="B38" s="7" t="s">
        <v>34</v>
      </c>
      <c r="C38" s="7" t="s">
        <v>35</v>
      </c>
      <c r="D38" s="7" t="s">
        <v>78</v>
      </c>
      <c r="E38" s="7" t="s">
        <v>76</v>
      </c>
      <c r="F38" s="7" t="s">
        <v>38</v>
      </c>
      <c r="G38" s="7"/>
      <c r="H38" s="18">
        <v>31.5</v>
      </c>
      <c r="I38" s="18">
        <v>4.473</v>
      </c>
      <c r="J38" s="18">
        <v>4.57</v>
      </c>
      <c r="K38" s="7">
        <v>1600</v>
      </c>
      <c r="L38" s="13" t="s">
        <v>39</v>
      </c>
      <c r="M38" s="13" t="s">
        <v>39</v>
      </c>
      <c r="N38" s="13">
        <v>61</v>
      </c>
      <c r="O38" s="13">
        <v>127</v>
      </c>
      <c r="P38" s="13">
        <v>740</v>
      </c>
      <c r="Q38" s="13">
        <v>2600</v>
      </c>
      <c r="R38" s="13">
        <v>12000</v>
      </c>
      <c r="S38" s="18">
        <v>0.23</v>
      </c>
      <c r="T38" s="7" t="s">
        <v>39</v>
      </c>
      <c r="U38" s="18">
        <v>1.6</v>
      </c>
      <c r="V38" s="18">
        <v>0.16</v>
      </c>
      <c r="W38" s="7" t="s">
        <v>39</v>
      </c>
      <c r="X38" s="18">
        <v>0.16</v>
      </c>
      <c r="Y38" s="14">
        <f t="shared" si="8"/>
        <v>0.978774617067834</v>
      </c>
      <c r="Z38" s="60">
        <f t="shared" si="9"/>
        <v>94.488188976378</v>
      </c>
      <c r="AA38" s="60">
        <f t="shared" si="10"/>
        <v>352.204724409449</v>
      </c>
    </row>
    <row r="39" hidden="1" spans="1:27">
      <c r="A39" s="7" t="s">
        <v>33</v>
      </c>
      <c r="B39" s="8" t="s">
        <v>34</v>
      </c>
      <c r="C39" s="7" t="s">
        <v>48</v>
      </c>
      <c r="D39" s="7" t="s">
        <v>79</v>
      </c>
      <c r="E39" s="7" t="s">
        <v>76</v>
      </c>
      <c r="F39" s="7" t="s">
        <v>50</v>
      </c>
      <c r="G39" s="52"/>
      <c r="H39" s="14">
        <v>31.5190437054727</v>
      </c>
      <c r="I39" s="18">
        <v>2.99388331342948</v>
      </c>
      <c r="J39" s="18">
        <v>6.99805343866521</v>
      </c>
      <c r="K39" s="13">
        <v>1258.37154555306</v>
      </c>
      <c r="L39" s="13" t="s">
        <v>39</v>
      </c>
      <c r="M39" s="13" t="s">
        <v>39</v>
      </c>
      <c r="N39" s="13">
        <v>122.238619020822</v>
      </c>
      <c r="O39" s="13">
        <v>118.186431769723</v>
      </c>
      <c r="P39" s="13">
        <v>79.7288371281451</v>
      </c>
      <c r="Q39" s="13">
        <v>1578.21158649235</v>
      </c>
      <c r="R39" s="13">
        <v>10982.6159811252</v>
      </c>
      <c r="S39" s="57">
        <v>5</v>
      </c>
      <c r="T39" s="58">
        <v>58</v>
      </c>
      <c r="U39" s="7" t="s">
        <v>39</v>
      </c>
      <c r="V39" s="57" t="s">
        <v>80</v>
      </c>
      <c r="W39" s="57">
        <v>2.5</v>
      </c>
      <c r="X39" s="57">
        <v>2.5</v>
      </c>
      <c r="Y39" s="14">
        <f t="shared" si="8"/>
        <v>0.427816583521335</v>
      </c>
      <c r="Z39" s="60">
        <f t="shared" si="9"/>
        <v>92.9261998748214</v>
      </c>
      <c r="AA39" s="60">
        <f t="shared" si="10"/>
        <v>253.318698991</v>
      </c>
    </row>
    <row r="40" hidden="1" spans="1:27">
      <c r="A40" s="7" t="s">
        <v>33</v>
      </c>
      <c r="B40" s="8" t="s">
        <v>34</v>
      </c>
      <c r="C40" s="7" t="s">
        <v>48</v>
      </c>
      <c r="D40" s="7" t="s">
        <v>81</v>
      </c>
      <c r="E40" s="7" t="s">
        <v>76</v>
      </c>
      <c r="F40" s="7" t="s">
        <v>50</v>
      </c>
      <c r="G40" s="52"/>
      <c r="H40" s="14">
        <v>31.0784979865906</v>
      </c>
      <c r="I40" s="18">
        <v>3.29248584862717</v>
      </c>
      <c r="J40" s="18">
        <v>4.87307374153628</v>
      </c>
      <c r="K40" s="13">
        <v>1415.66798874719</v>
      </c>
      <c r="L40" s="13" t="s">
        <v>39</v>
      </c>
      <c r="M40" s="13" t="s">
        <v>39</v>
      </c>
      <c r="N40" s="13">
        <v>22.1345192422732</v>
      </c>
      <c r="O40" s="13">
        <v>8.46982263938849</v>
      </c>
      <c r="P40" s="13">
        <v>91.1280674276909</v>
      </c>
      <c r="Q40" s="13">
        <v>1803.21670155732</v>
      </c>
      <c r="R40" s="13">
        <v>10617.8340451583</v>
      </c>
      <c r="S40" s="59" t="s">
        <v>82</v>
      </c>
      <c r="T40" s="58">
        <v>44</v>
      </c>
      <c r="U40" s="7" t="s">
        <v>39</v>
      </c>
      <c r="V40" s="57" t="s">
        <v>80</v>
      </c>
      <c r="W40" s="57">
        <v>1.8</v>
      </c>
      <c r="X40" s="57">
        <v>2.1</v>
      </c>
      <c r="Y40" s="14">
        <f t="shared" si="8"/>
        <v>0.675648681562776</v>
      </c>
      <c r="Z40" s="60">
        <f t="shared" si="9"/>
        <v>1253.60760162563</v>
      </c>
      <c r="AA40" s="60">
        <f t="shared" si="10"/>
        <v>3887.31380668543</v>
      </c>
    </row>
    <row r="41" hidden="1" spans="1:27">
      <c r="A41" s="7" t="s">
        <v>33</v>
      </c>
      <c r="B41" s="8" t="s">
        <v>34</v>
      </c>
      <c r="C41" s="7" t="s">
        <v>48</v>
      </c>
      <c r="D41" s="7" t="s">
        <v>83</v>
      </c>
      <c r="E41" s="7" t="s">
        <v>76</v>
      </c>
      <c r="F41" s="7" t="s">
        <v>50</v>
      </c>
      <c r="G41" s="52"/>
      <c r="H41" s="14">
        <v>27.8745291219936</v>
      </c>
      <c r="I41" s="18">
        <v>4.0389921866214</v>
      </c>
      <c r="J41" s="18">
        <v>3.63483369245739</v>
      </c>
      <c r="K41" s="13">
        <v>1730.26087513546</v>
      </c>
      <c r="L41" s="13" t="s">
        <v>39</v>
      </c>
      <c r="M41" s="13" t="s">
        <v>39</v>
      </c>
      <c r="N41" s="13">
        <v>0.605550059966419</v>
      </c>
      <c r="O41" s="13">
        <v>2.4610947692667</v>
      </c>
      <c r="P41" s="13">
        <v>6.15735862466294</v>
      </c>
      <c r="Q41" s="13">
        <v>799.438615443236</v>
      </c>
      <c r="R41" s="13">
        <v>7250.07879749714</v>
      </c>
      <c r="S41" s="57">
        <v>2.7</v>
      </c>
      <c r="T41" s="58">
        <v>53</v>
      </c>
      <c r="U41" s="7" t="s">
        <v>39</v>
      </c>
      <c r="V41" s="57">
        <v>0.1</v>
      </c>
      <c r="W41" s="57">
        <v>0.77</v>
      </c>
      <c r="X41" s="57">
        <v>0.17</v>
      </c>
      <c r="Y41" s="14">
        <f t="shared" si="8"/>
        <v>1.11119036752704</v>
      </c>
      <c r="Z41" s="60">
        <f t="shared" si="9"/>
        <v>2945.87550550007</v>
      </c>
      <c r="AA41" s="60">
        <f t="shared" si="10"/>
        <v>16411.3639062539</v>
      </c>
    </row>
    <row r="42" hidden="1" spans="1:27">
      <c r="A42" s="7" t="s">
        <v>33</v>
      </c>
      <c r="B42" s="7" t="s">
        <v>34</v>
      </c>
      <c r="C42" s="7" t="s">
        <v>48</v>
      </c>
      <c r="D42" s="7" t="s">
        <v>84</v>
      </c>
      <c r="E42" s="7" t="s">
        <v>76</v>
      </c>
      <c r="F42" s="7" t="s">
        <v>38</v>
      </c>
      <c r="G42" s="7"/>
      <c r="H42" s="18">
        <v>27.85</v>
      </c>
      <c r="I42" s="18">
        <v>2.75</v>
      </c>
      <c r="J42" s="18">
        <v>1.8</v>
      </c>
      <c r="K42" s="7">
        <v>1295</v>
      </c>
      <c r="L42" s="13" t="s">
        <v>39</v>
      </c>
      <c r="M42" s="13" t="s">
        <v>39</v>
      </c>
      <c r="N42" s="13">
        <v>7.8</v>
      </c>
      <c r="O42" s="13">
        <v>13.7</v>
      </c>
      <c r="P42" s="13">
        <v>120</v>
      </c>
      <c r="Q42" s="13">
        <v>630</v>
      </c>
      <c r="R42" s="13">
        <v>3570</v>
      </c>
      <c r="S42" s="18">
        <v>0.2</v>
      </c>
      <c r="T42" s="7" t="s">
        <v>39</v>
      </c>
      <c r="U42" s="18">
        <v>0.76</v>
      </c>
      <c r="V42" s="18">
        <v>0.11</v>
      </c>
      <c r="W42" s="18">
        <v>0.54</v>
      </c>
      <c r="X42" s="18">
        <v>0.11</v>
      </c>
      <c r="Y42" s="14">
        <f t="shared" si="8"/>
        <v>1.52777777777778</v>
      </c>
      <c r="Z42" s="60">
        <f t="shared" si="9"/>
        <v>260.583941605839</v>
      </c>
      <c r="AA42" s="60">
        <f t="shared" si="10"/>
        <v>2007.29927007299</v>
      </c>
    </row>
    <row r="43" hidden="1" spans="1:27">
      <c r="A43" s="7" t="s">
        <v>33</v>
      </c>
      <c r="B43" s="7" t="s">
        <v>34</v>
      </c>
      <c r="C43" s="7" t="s">
        <v>48</v>
      </c>
      <c r="D43" s="7" t="s">
        <v>85</v>
      </c>
      <c r="E43" s="7" t="s">
        <v>76</v>
      </c>
      <c r="F43" s="7" t="s">
        <v>38</v>
      </c>
      <c r="G43" s="7"/>
      <c r="H43" s="18">
        <v>34.4</v>
      </c>
      <c r="I43" s="18">
        <v>3.54</v>
      </c>
      <c r="J43" s="18">
        <v>2.67</v>
      </c>
      <c r="K43" s="7">
        <v>1527</v>
      </c>
      <c r="L43" s="13" t="s">
        <v>39</v>
      </c>
      <c r="M43" s="13" t="s">
        <v>39</v>
      </c>
      <c r="N43" s="13">
        <v>7.3</v>
      </c>
      <c r="O43" s="13">
        <v>11.5</v>
      </c>
      <c r="P43" s="13">
        <v>130</v>
      </c>
      <c r="Q43" s="13">
        <v>786</v>
      </c>
      <c r="R43" s="13">
        <v>4250</v>
      </c>
      <c r="S43" s="18">
        <v>0.09</v>
      </c>
      <c r="T43" s="7" t="s">
        <v>39</v>
      </c>
      <c r="U43" s="18">
        <v>0.3</v>
      </c>
      <c r="V43" s="18">
        <v>0.09</v>
      </c>
      <c r="W43" s="18">
        <v>0.4</v>
      </c>
      <c r="X43" s="18">
        <v>0.097</v>
      </c>
      <c r="Y43" s="14">
        <f t="shared" si="8"/>
        <v>1.32584269662921</v>
      </c>
      <c r="Z43" s="60">
        <f t="shared" si="9"/>
        <v>369.565217391304</v>
      </c>
      <c r="AA43" s="60">
        <f t="shared" si="10"/>
        <v>3078.26086956522</v>
      </c>
    </row>
    <row r="44" hidden="1" spans="1:27">
      <c r="A44" s="7" t="s">
        <v>33</v>
      </c>
      <c r="B44" s="7" t="s">
        <v>34</v>
      </c>
      <c r="C44" s="7" t="s">
        <v>48</v>
      </c>
      <c r="D44" s="7" t="s">
        <v>86</v>
      </c>
      <c r="E44" s="7" t="s">
        <v>76</v>
      </c>
      <c r="F44" s="7" t="s">
        <v>38</v>
      </c>
      <c r="G44" s="7"/>
      <c r="H44" s="18">
        <v>29.2</v>
      </c>
      <c r="I44" s="18">
        <v>3.01</v>
      </c>
      <c r="J44" s="18">
        <v>2.57</v>
      </c>
      <c r="K44" s="7">
        <v>1264</v>
      </c>
      <c r="L44" s="13" t="s">
        <v>39</v>
      </c>
      <c r="M44" s="13" t="s">
        <v>39</v>
      </c>
      <c r="N44" s="13">
        <v>7.7</v>
      </c>
      <c r="O44" s="13">
        <v>14</v>
      </c>
      <c r="P44" s="13">
        <v>110</v>
      </c>
      <c r="Q44" s="13">
        <v>873</v>
      </c>
      <c r="R44" s="13">
        <v>4600</v>
      </c>
      <c r="S44" s="18">
        <v>0.33</v>
      </c>
      <c r="T44" s="7" t="s">
        <v>39</v>
      </c>
      <c r="U44" s="18">
        <v>0.76</v>
      </c>
      <c r="V44" s="18">
        <v>0.2</v>
      </c>
      <c r="W44" s="18">
        <v>0.46</v>
      </c>
      <c r="X44" s="18">
        <v>0.045</v>
      </c>
      <c r="Y44" s="14">
        <f t="shared" si="8"/>
        <v>1.17120622568093</v>
      </c>
      <c r="Z44" s="60">
        <f t="shared" si="9"/>
        <v>328.571428571429</v>
      </c>
      <c r="AA44" s="60">
        <f t="shared" si="10"/>
        <v>2150</v>
      </c>
    </row>
    <row r="45" hidden="1" spans="1:27">
      <c r="A45" s="7" t="s">
        <v>33</v>
      </c>
      <c r="B45" s="7" t="s">
        <v>34</v>
      </c>
      <c r="C45" s="7" t="s">
        <v>48</v>
      </c>
      <c r="D45" s="7" t="s">
        <v>87</v>
      </c>
      <c r="E45" s="7" t="s">
        <v>76</v>
      </c>
      <c r="F45" s="7" t="s">
        <v>38</v>
      </c>
      <c r="G45" s="7"/>
      <c r="H45" s="18">
        <v>30.5</v>
      </c>
      <c r="I45" s="18">
        <v>2.97</v>
      </c>
      <c r="J45" s="18">
        <v>2.7</v>
      </c>
      <c r="K45" s="7">
        <v>1267</v>
      </c>
      <c r="L45" s="13" t="s">
        <v>39</v>
      </c>
      <c r="M45" s="13" t="s">
        <v>39</v>
      </c>
      <c r="N45" s="13">
        <v>8.1</v>
      </c>
      <c r="O45" s="13">
        <v>21</v>
      </c>
      <c r="P45" s="13">
        <v>130</v>
      </c>
      <c r="Q45" s="13">
        <v>810</v>
      </c>
      <c r="R45" s="13">
        <v>4270</v>
      </c>
      <c r="S45" s="18">
        <v>0.24</v>
      </c>
      <c r="T45" s="7" t="s">
        <v>39</v>
      </c>
      <c r="U45" s="18">
        <v>0.71</v>
      </c>
      <c r="V45" s="18">
        <v>0.12</v>
      </c>
      <c r="W45" s="18">
        <v>0.37</v>
      </c>
      <c r="X45" s="18">
        <v>0.035</v>
      </c>
      <c r="Y45" s="14">
        <f t="shared" si="8"/>
        <v>1.1</v>
      </c>
      <c r="Z45" s="60">
        <f t="shared" si="9"/>
        <v>203.333333333333</v>
      </c>
      <c r="AA45" s="60">
        <f t="shared" si="10"/>
        <v>1414.28571428571</v>
      </c>
    </row>
    <row r="46" hidden="1" spans="1:27">
      <c r="A46" s="7" t="s">
        <v>33</v>
      </c>
      <c r="B46" s="7" t="s">
        <v>34</v>
      </c>
      <c r="C46" s="7" t="s">
        <v>48</v>
      </c>
      <c r="D46" s="7" t="s">
        <v>88</v>
      </c>
      <c r="E46" s="7" t="s">
        <v>76</v>
      </c>
      <c r="F46" s="7" t="s">
        <v>38</v>
      </c>
      <c r="G46" s="7"/>
      <c r="H46" s="18">
        <v>30.8</v>
      </c>
      <c r="I46" s="18">
        <v>3.15</v>
      </c>
      <c r="J46" s="18">
        <v>2.9</v>
      </c>
      <c r="K46" s="7">
        <v>1351</v>
      </c>
      <c r="L46" s="13" t="s">
        <v>39</v>
      </c>
      <c r="M46" s="13" t="s">
        <v>39</v>
      </c>
      <c r="N46" s="13">
        <v>3.5</v>
      </c>
      <c r="O46" s="13">
        <v>4.7</v>
      </c>
      <c r="P46" s="13">
        <v>87</v>
      </c>
      <c r="Q46" s="13">
        <v>1800</v>
      </c>
      <c r="R46" s="13">
        <v>6400</v>
      </c>
      <c r="S46" s="18">
        <v>0.33</v>
      </c>
      <c r="T46" s="7" t="s">
        <v>39</v>
      </c>
      <c r="U46" s="18">
        <v>1.3</v>
      </c>
      <c r="V46" s="18">
        <v>0.14</v>
      </c>
      <c r="W46" s="18">
        <v>0.88</v>
      </c>
      <c r="X46" s="18">
        <v>0.34</v>
      </c>
      <c r="Y46" s="14">
        <f t="shared" si="8"/>
        <v>1.08620689655172</v>
      </c>
      <c r="Z46" s="60">
        <f t="shared" si="9"/>
        <v>1361.70212765957</v>
      </c>
      <c r="AA46" s="60">
        <f t="shared" si="10"/>
        <v>6702.12765957447</v>
      </c>
    </row>
    <row r="47" hidden="1" spans="1:27">
      <c r="A47" s="7" t="s">
        <v>33</v>
      </c>
      <c r="B47" s="7" t="s">
        <v>34</v>
      </c>
      <c r="C47" s="7" t="s">
        <v>48</v>
      </c>
      <c r="D47" s="7" t="s">
        <v>89</v>
      </c>
      <c r="E47" s="7" t="s">
        <v>76</v>
      </c>
      <c r="F47" s="7" t="s">
        <v>38</v>
      </c>
      <c r="G47" s="7"/>
      <c r="H47" s="18">
        <v>31.1</v>
      </c>
      <c r="I47" s="18">
        <v>3.39</v>
      </c>
      <c r="J47" s="18">
        <v>3.6</v>
      </c>
      <c r="K47" s="7">
        <v>1487</v>
      </c>
      <c r="L47" s="13" t="s">
        <v>39</v>
      </c>
      <c r="M47" s="13" t="s">
        <v>39</v>
      </c>
      <c r="N47" s="13">
        <v>27</v>
      </c>
      <c r="O47" s="13">
        <v>56.7</v>
      </c>
      <c r="P47" s="13">
        <v>327</v>
      </c>
      <c r="Q47" s="13">
        <v>1800</v>
      </c>
      <c r="R47" s="13">
        <v>8370</v>
      </c>
      <c r="S47" s="18">
        <v>0.21</v>
      </c>
      <c r="T47" s="7" t="s">
        <v>39</v>
      </c>
      <c r="U47" s="18">
        <v>1.1</v>
      </c>
      <c r="V47" s="18">
        <v>0.16</v>
      </c>
      <c r="W47" s="18">
        <v>1</v>
      </c>
      <c r="X47" s="18">
        <v>0.2</v>
      </c>
      <c r="Y47" s="14">
        <f t="shared" si="8"/>
        <v>0.941666666666667</v>
      </c>
      <c r="Z47" s="60">
        <f t="shared" si="9"/>
        <v>147.619047619048</v>
      </c>
      <c r="AA47" s="60">
        <f t="shared" si="10"/>
        <v>597.883597883598</v>
      </c>
    </row>
    <row r="48" hidden="1" spans="1:27">
      <c r="A48" s="7" t="s">
        <v>33</v>
      </c>
      <c r="B48" s="7" t="s">
        <v>34</v>
      </c>
      <c r="C48" s="7" t="s">
        <v>48</v>
      </c>
      <c r="D48" s="7" t="s">
        <v>90</v>
      </c>
      <c r="E48" s="7" t="s">
        <v>76</v>
      </c>
      <c r="F48" s="7" t="s">
        <v>38</v>
      </c>
      <c r="G48" s="7"/>
      <c r="H48" s="18">
        <v>35.2</v>
      </c>
      <c r="I48" s="18">
        <v>3.74</v>
      </c>
      <c r="J48" s="18">
        <v>4.5</v>
      </c>
      <c r="K48" s="7">
        <v>1629</v>
      </c>
      <c r="L48" s="13" t="s">
        <v>39</v>
      </c>
      <c r="M48" s="13" t="s">
        <v>39</v>
      </c>
      <c r="N48" s="13">
        <v>41.7</v>
      </c>
      <c r="O48" s="13">
        <v>95</v>
      </c>
      <c r="P48" s="13">
        <v>400</v>
      </c>
      <c r="Q48" s="13">
        <v>2170</v>
      </c>
      <c r="R48" s="13">
        <v>8830</v>
      </c>
      <c r="S48" s="18">
        <v>0.25</v>
      </c>
      <c r="T48" s="7" t="s">
        <v>39</v>
      </c>
      <c r="U48" s="18">
        <v>0.8</v>
      </c>
      <c r="V48" s="18">
        <v>0.11</v>
      </c>
      <c r="W48" s="18">
        <v>1.1</v>
      </c>
      <c r="X48" s="18">
        <v>0.3</v>
      </c>
      <c r="Y48" s="14">
        <f t="shared" si="8"/>
        <v>0.831111111111111</v>
      </c>
      <c r="Z48" s="60">
        <f t="shared" si="9"/>
        <v>92.9473684210526</v>
      </c>
      <c r="AA48" s="60">
        <f t="shared" si="10"/>
        <v>393.684210526316</v>
      </c>
    </row>
    <row r="49" hidden="1" spans="1:27">
      <c r="A49" s="7" t="s">
        <v>33</v>
      </c>
      <c r="B49" s="7" t="s">
        <v>34</v>
      </c>
      <c r="C49" s="7" t="s">
        <v>48</v>
      </c>
      <c r="D49" s="7" t="s">
        <v>91</v>
      </c>
      <c r="E49" s="7" t="s">
        <v>76</v>
      </c>
      <c r="F49" s="7" t="s">
        <v>38</v>
      </c>
      <c r="G49" s="7"/>
      <c r="H49" s="18">
        <v>31.4</v>
      </c>
      <c r="I49" s="18">
        <v>3.39</v>
      </c>
      <c r="J49" s="18">
        <v>4.27</v>
      </c>
      <c r="K49" s="7">
        <v>1458</v>
      </c>
      <c r="L49" s="13" t="s">
        <v>39</v>
      </c>
      <c r="M49" s="13" t="s">
        <v>39</v>
      </c>
      <c r="N49" s="13">
        <v>22</v>
      </c>
      <c r="O49" s="13">
        <v>28.7</v>
      </c>
      <c r="P49" s="13">
        <v>310</v>
      </c>
      <c r="Q49" s="13">
        <v>1470</v>
      </c>
      <c r="R49" s="13">
        <v>7670</v>
      </c>
      <c r="S49" s="18">
        <v>0.41</v>
      </c>
      <c r="T49" s="7" t="s">
        <v>39</v>
      </c>
      <c r="U49" s="18">
        <v>0.94</v>
      </c>
      <c r="V49" s="18">
        <v>0.14</v>
      </c>
      <c r="W49" s="18">
        <v>0.77</v>
      </c>
      <c r="X49" s="18">
        <v>0.16</v>
      </c>
      <c r="Y49" s="14">
        <f t="shared" si="8"/>
        <v>0.793911007025761</v>
      </c>
      <c r="Z49" s="60">
        <f t="shared" si="9"/>
        <v>267.247386759582</v>
      </c>
      <c r="AA49" s="60">
        <f t="shared" si="10"/>
        <v>1181.18466898955</v>
      </c>
    </row>
    <row r="50" hidden="1" spans="1:27">
      <c r="A50" s="7" t="s">
        <v>33</v>
      </c>
      <c r="B50" s="7" t="s">
        <v>34</v>
      </c>
      <c r="C50" s="7" t="s">
        <v>48</v>
      </c>
      <c r="D50" s="7" t="s">
        <v>92</v>
      </c>
      <c r="E50" s="7" t="s">
        <v>76</v>
      </c>
      <c r="F50" s="7" t="s">
        <v>38</v>
      </c>
      <c r="G50" s="7"/>
      <c r="H50" s="18">
        <v>34.4</v>
      </c>
      <c r="I50" s="18">
        <v>3.73</v>
      </c>
      <c r="J50" s="18">
        <v>4.7</v>
      </c>
      <c r="K50" s="7">
        <v>1691</v>
      </c>
      <c r="L50" s="13" t="s">
        <v>39</v>
      </c>
      <c r="M50" s="13" t="s">
        <v>39</v>
      </c>
      <c r="N50" s="13">
        <v>38</v>
      </c>
      <c r="O50" s="13">
        <v>100</v>
      </c>
      <c r="P50" s="13">
        <v>433</v>
      </c>
      <c r="Q50" s="13">
        <v>1830</v>
      </c>
      <c r="R50" s="13">
        <v>10000</v>
      </c>
      <c r="S50" s="18">
        <v>0.17</v>
      </c>
      <c r="T50" s="7" t="s">
        <v>39</v>
      </c>
      <c r="U50" s="18">
        <v>0.9</v>
      </c>
      <c r="V50" s="18">
        <v>0.1</v>
      </c>
      <c r="W50" s="18">
        <v>0.84</v>
      </c>
      <c r="X50" s="18">
        <v>0.26</v>
      </c>
      <c r="Y50" s="14">
        <f t="shared" si="8"/>
        <v>0.793617021276596</v>
      </c>
      <c r="Z50" s="60">
        <f t="shared" si="9"/>
        <v>100</v>
      </c>
      <c r="AA50" s="60">
        <f t="shared" si="10"/>
        <v>373</v>
      </c>
    </row>
    <row r="51" hidden="1" spans="1:27">
      <c r="A51" s="7" t="s">
        <v>33</v>
      </c>
      <c r="B51" s="7" t="s">
        <v>34</v>
      </c>
      <c r="C51" s="7" t="s">
        <v>48</v>
      </c>
      <c r="D51" s="7" t="s">
        <v>93</v>
      </c>
      <c r="E51" s="7" t="s">
        <v>76</v>
      </c>
      <c r="F51" s="7" t="s">
        <v>38</v>
      </c>
      <c r="G51" s="7"/>
      <c r="H51" s="18">
        <v>36.6</v>
      </c>
      <c r="I51" s="18">
        <v>4.01</v>
      </c>
      <c r="J51" s="18">
        <v>5.23</v>
      </c>
      <c r="K51" s="7">
        <v>1707</v>
      </c>
      <c r="L51" s="13" t="s">
        <v>39</v>
      </c>
      <c r="M51" s="13" t="s">
        <v>39</v>
      </c>
      <c r="N51" s="13">
        <v>41.3</v>
      </c>
      <c r="O51" s="13">
        <v>110</v>
      </c>
      <c r="P51" s="13">
        <v>410</v>
      </c>
      <c r="Q51" s="13">
        <v>2130</v>
      </c>
      <c r="R51" s="13">
        <v>10300</v>
      </c>
      <c r="S51" s="18">
        <v>0.12</v>
      </c>
      <c r="T51" s="7" t="s">
        <v>39</v>
      </c>
      <c r="U51" s="7" t="s">
        <v>39</v>
      </c>
      <c r="V51" s="18">
        <v>0.05</v>
      </c>
      <c r="W51" s="18">
        <v>1.3</v>
      </c>
      <c r="X51" s="18">
        <v>0.42</v>
      </c>
      <c r="Y51" s="14">
        <f t="shared" si="8"/>
        <v>0.766730401529637</v>
      </c>
      <c r="Z51" s="60">
        <f t="shared" si="9"/>
        <v>93.6363636363636</v>
      </c>
      <c r="AA51" s="60">
        <f t="shared" si="10"/>
        <v>364.545454545455</v>
      </c>
    </row>
    <row r="52" hidden="1" spans="1:27">
      <c r="A52" s="7" t="s">
        <v>33</v>
      </c>
      <c r="B52" s="7" t="s">
        <v>34</v>
      </c>
      <c r="C52" s="7" t="s">
        <v>48</v>
      </c>
      <c r="D52" s="7" t="s">
        <v>94</v>
      </c>
      <c r="E52" s="7" t="s">
        <v>76</v>
      </c>
      <c r="F52" s="7" t="s">
        <v>38</v>
      </c>
      <c r="G52" s="7"/>
      <c r="H52" s="18">
        <v>35.55</v>
      </c>
      <c r="I52" s="18">
        <v>3.75</v>
      </c>
      <c r="J52" s="18">
        <v>5.3</v>
      </c>
      <c r="K52" s="7">
        <v>1656</v>
      </c>
      <c r="L52" s="13">
        <v>99.3</v>
      </c>
      <c r="M52" s="13">
        <v>36</v>
      </c>
      <c r="N52" s="13">
        <v>42.5</v>
      </c>
      <c r="O52" s="13">
        <v>120</v>
      </c>
      <c r="P52" s="13">
        <v>410</v>
      </c>
      <c r="Q52" s="13">
        <v>1950</v>
      </c>
      <c r="R52" s="13">
        <v>10000</v>
      </c>
      <c r="S52" s="18">
        <v>0.27</v>
      </c>
      <c r="T52" s="7" t="s">
        <v>39</v>
      </c>
      <c r="U52" s="18">
        <v>0.85</v>
      </c>
      <c r="V52" s="18">
        <v>0.1</v>
      </c>
      <c r="W52" s="18">
        <v>1.1</v>
      </c>
      <c r="X52" s="18">
        <v>0.33</v>
      </c>
      <c r="Y52" s="14">
        <f t="shared" si="8"/>
        <v>0.707547169811321</v>
      </c>
      <c r="Z52" s="60">
        <f t="shared" si="9"/>
        <v>83.3333333333333</v>
      </c>
      <c r="AA52" s="60">
        <f t="shared" si="10"/>
        <v>312.5</v>
      </c>
    </row>
    <row r="53" hidden="1" spans="1:27">
      <c r="A53" s="7" t="s">
        <v>33</v>
      </c>
      <c r="B53" s="7" t="s">
        <v>34</v>
      </c>
      <c r="C53" s="7" t="s">
        <v>48</v>
      </c>
      <c r="D53" s="7" t="s">
        <v>95</v>
      </c>
      <c r="E53" s="7" t="s">
        <v>76</v>
      </c>
      <c r="F53" s="7" t="s">
        <v>38</v>
      </c>
      <c r="G53" s="7"/>
      <c r="H53" s="18">
        <v>35.7</v>
      </c>
      <c r="I53" s="18">
        <v>3.96</v>
      </c>
      <c r="J53" s="18">
        <v>5.41</v>
      </c>
      <c r="K53" s="7">
        <v>1697</v>
      </c>
      <c r="L53" s="13" t="s">
        <v>39</v>
      </c>
      <c r="M53" s="13">
        <v>40</v>
      </c>
      <c r="N53" s="13">
        <v>60.5</v>
      </c>
      <c r="O53" s="13">
        <v>210</v>
      </c>
      <c r="P53" s="13">
        <v>505</v>
      </c>
      <c r="Q53" s="13">
        <v>2250</v>
      </c>
      <c r="R53" s="13">
        <v>10000</v>
      </c>
      <c r="S53" s="18">
        <v>0.16</v>
      </c>
      <c r="T53" s="7" t="s">
        <v>39</v>
      </c>
      <c r="U53" s="18">
        <v>0.9</v>
      </c>
      <c r="V53" s="18">
        <v>0.05</v>
      </c>
      <c r="W53" s="18">
        <v>0.82</v>
      </c>
      <c r="X53" s="18">
        <v>0.165</v>
      </c>
      <c r="Y53" s="14">
        <f t="shared" si="8"/>
        <v>0.731977818853974</v>
      </c>
      <c r="Z53" s="60">
        <f t="shared" si="9"/>
        <v>47.6190476190476</v>
      </c>
      <c r="AA53" s="60">
        <f t="shared" si="10"/>
        <v>188.571428571429</v>
      </c>
    </row>
    <row r="54" hidden="1" spans="1:27">
      <c r="A54" s="7" t="s">
        <v>33</v>
      </c>
      <c r="B54" s="7" t="s">
        <v>34</v>
      </c>
      <c r="C54" s="7" t="s">
        <v>48</v>
      </c>
      <c r="D54" s="7" t="s">
        <v>96</v>
      </c>
      <c r="E54" s="7" t="s">
        <v>76</v>
      </c>
      <c r="F54" s="7" t="s">
        <v>97</v>
      </c>
      <c r="G54" s="7"/>
      <c r="H54" s="18">
        <v>30.5</v>
      </c>
      <c r="I54" s="18">
        <v>3.48</v>
      </c>
      <c r="J54" s="18">
        <v>4.05</v>
      </c>
      <c r="K54" s="7">
        <v>1265</v>
      </c>
      <c r="L54" s="13" t="s">
        <v>39</v>
      </c>
      <c r="M54" s="13">
        <v>13</v>
      </c>
      <c r="N54" s="13">
        <v>20</v>
      </c>
      <c r="O54" s="13">
        <v>57</v>
      </c>
      <c r="P54" s="13">
        <v>240</v>
      </c>
      <c r="Q54" s="13">
        <v>1600</v>
      </c>
      <c r="R54" s="13">
        <v>10767</v>
      </c>
      <c r="S54" s="18">
        <v>3.4</v>
      </c>
      <c r="T54" s="14">
        <v>50.2</v>
      </c>
      <c r="U54" s="18">
        <v>2.32</v>
      </c>
      <c r="V54" s="7" t="s">
        <v>98</v>
      </c>
      <c r="W54" s="18">
        <v>0.87</v>
      </c>
      <c r="X54" s="18">
        <v>0.25</v>
      </c>
      <c r="Y54" s="14">
        <f t="shared" si="8"/>
        <v>0.859259259259259</v>
      </c>
      <c r="Z54" s="60">
        <f t="shared" si="9"/>
        <v>188.894736842105</v>
      </c>
      <c r="AA54" s="60">
        <f t="shared" si="10"/>
        <v>610.526315789474</v>
      </c>
    </row>
    <row r="55" hidden="1" spans="1:27">
      <c r="A55" s="7" t="s">
        <v>33</v>
      </c>
      <c r="B55" s="8" t="s">
        <v>34</v>
      </c>
      <c r="C55" s="8" t="s">
        <v>99</v>
      </c>
      <c r="D55" s="8" t="s">
        <v>100</v>
      </c>
      <c r="E55" s="7" t="s">
        <v>76</v>
      </c>
      <c r="F55" s="7" t="s">
        <v>50</v>
      </c>
      <c r="G55" s="54" t="s">
        <v>101</v>
      </c>
      <c r="H55" s="55">
        <v>24.4</v>
      </c>
      <c r="I55" s="53">
        <v>3.1</v>
      </c>
      <c r="J55" s="53">
        <v>3.8</v>
      </c>
      <c r="K55" s="8">
        <v>1416</v>
      </c>
      <c r="L55" s="13" t="s">
        <v>39</v>
      </c>
      <c r="M55" s="13" t="s">
        <v>39</v>
      </c>
      <c r="N55" s="13">
        <v>46.661582291418</v>
      </c>
      <c r="O55" s="13">
        <v>108.345687949109</v>
      </c>
      <c r="P55" s="13">
        <v>469.203385132636</v>
      </c>
      <c r="Q55" s="13">
        <v>889.96606769259</v>
      </c>
      <c r="R55" s="13">
        <v>5738.03496745651</v>
      </c>
      <c r="S55" s="53">
        <v>0.91</v>
      </c>
      <c r="T55" s="56">
        <v>55.8</v>
      </c>
      <c r="U55" s="7" t="s">
        <v>39</v>
      </c>
      <c r="V55" s="53">
        <v>0.01</v>
      </c>
      <c r="W55" s="8">
        <v>3.67</v>
      </c>
      <c r="X55" s="8">
        <v>0.53</v>
      </c>
      <c r="Y55" s="14">
        <f t="shared" si="8"/>
        <v>0.815789473684211</v>
      </c>
      <c r="Z55" s="60">
        <f t="shared" si="9"/>
        <v>52.9604368763779</v>
      </c>
      <c r="AA55" s="60">
        <f t="shared" si="10"/>
        <v>286.121216144394</v>
      </c>
    </row>
    <row r="56" hidden="1" spans="1:27">
      <c r="A56" s="7" t="s">
        <v>33</v>
      </c>
      <c r="B56" s="8" t="s">
        <v>34</v>
      </c>
      <c r="C56" s="8" t="s">
        <v>99</v>
      </c>
      <c r="D56" s="8" t="s">
        <v>102</v>
      </c>
      <c r="E56" s="7" t="s">
        <v>76</v>
      </c>
      <c r="F56" s="7" t="s">
        <v>50</v>
      </c>
      <c r="G56" s="54" t="s">
        <v>101</v>
      </c>
      <c r="H56" s="55">
        <v>25</v>
      </c>
      <c r="I56" s="53">
        <v>2.8</v>
      </c>
      <c r="J56" s="53">
        <v>2.3</v>
      </c>
      <c r="K56" s="8">
        <v>1416</v>
      </c>
      <c r="L56" s="13" t="s">
        <v>39</v>
      </c>
      <c r="M56" s="13" t="s">
        <v>39</v>
      </c>
      <c r="N56" s="13">
        <v>24.3378310421847</v>
      </c>
      <c r="O56" s="13">
        <v>80.9306978223877</v>
      </c>
      <c r="P56" s="13">
        <v>291.679551319197</v>
      </c>
      <c r="Q56" s="13">
        <v>625.577028413016</v>
      </c>
      <c r="R56" s="13">
        <v>5048.19928813129</v>
      </c>
      <c r="S56" s="53">
        <v>0.96</v>
      </c>
      <c r="T56" s="56">
        <v>49</v>
      </c>
      <c r="U56" s="7" t="s">
        <v>39</v>
      </c>
      <c r="V56" s="53">
        <v>0.23</v>
      </c>
      <c r="W56" s="8">
        <v>0.74</v>
      </c>
      <c r="X56" s="53">
        <v>0.2</v>
      </c>
      <c r="Y56" s="14">
        <f t="shared" si="8"/>
        <v>1.21739130434783</v>
      </c>
      <c r="Z56" s="60">
        <f t="shared" si="9"/>
        <v>62.376816510469</v>
      </c>
      <c r="AA56" s="60">
        <f t="shared" si="10"/>
        <v>345.97502249949</v>
      </c>
    </row>
    <row r="57" hidden="1" spans="1:27">
      <c r="A57" s="7" t="s">
        <v>33</v>
      </c>
      <c r="B57" s="8" t="s">
        <v>34</v>
      </c>
      <c r="C57" s="8" t="s">
        <v>99</v>
      </c>
      <c r="D57" s="8" t="s">
        <v>103</v>
      </c>
      <c r="E57" s="7" t="s">
        <v>76</v>
      </c>
      <c r="F57" s="7" t="s">
        <v>50</v>
      </c>
      <c r="G57" s="52"/>
      <c r="H57" s="55">
        <v>23.3088734899429</v>
      </c>
      <c r="I57" s="53">
        <v>3.05674700505005</v>
      </c>
      <c r="J57" s="53">
        <v>3.25936735499476</v>
      </c>
      <c r="K57" s="56">
        <v>1258.37154555306</v>
      </c>
      <c r="L57" s="13" t="s">
        <v>39</v>
      </c>
      <c r="M57" s="13" t="s">
        <v>39</v>
      </c>
      <c r="N57" s="13">
        <v>4.38140689655172</v>
      </c>
      <c r="O57" s="13">
        <v>6.46241214387856</v>
      </c>
      <c r="P57" s="13">
        <v>103.002315428557</v>
      </c>
      <c r="Q57" s="13">
        <v>920.164119932281</v>
      </c>
      <c r="R57" s="13">
        <v>6157.9914288023</v>
      </c>
      <c r="S57" s="57">
        <v>1.41</v>
      </c>
      <c r="T57" s="58">
        <v>59</v>
      </c>
      <c r="U57" s="7" t="s">
        <v>39</v>
      </c>
      <c r="V57" s="57">
        <v>0.18</v>
      </c>
      <c r="W57" s="57">
        <v>1.77</v>
      </c>
      <c r="X57" s="57">
        <v>0.31</v>
      </c>
      <c r="Y57" s="14">
        <f t="shared" si="8"/>
        <v>0.937834454396737</v>
      </c>
      <c r="Z57" s="60">
        <f t="shared" si="9"/>
        <v>952.893639666015</v>
      </c>
      <c r="AA57" s="60">
        <f t="shared" si="10"/>
        <v>4730.04032704028</v>
      </c>
    </row>
    <row r="58" hidden="1" spans="1:27">
      <c r="A58" s="7" t="s">
        <v>33</v>
      </c>
      <c r="B58" s="7" t="s">
        <v>59</v>
      </c>
      <c r="C58" s="7" t="s">
        <v>60</v>
      </c>
      <c r="D58" s="7" t="s">
        <v>104</v>
      </c>
      <c r="E58" s="7" t="s">
        <v>76</v>
      </c>
      <c r="F58" s="7" t="s">
        <v>38</v>
      </c>
      <c r="G58" s="7"/>
      <c r="H58" s="18">
        <v>34.15</v>
      </c>
      <c r="I58" s="18">
        <v>4.437</v>
      </c>
      <c r="J58" s="18">
        <v>4.17</v>
      </c>
      <c r="K58" s="7">
        <v>1953</v>
      </c>
      <c r="L58" s="13">
        <v>326</v>
      </c>
      <c r="M58" s="13">
        <v>265</v>
      </c>
      <c r="N58" s="13">
        <v>400</v>
      </c>
      <c r="O58" s="13">
        <v>1600</v>
      </c>
      <c r="P58" s="13">
        <v>2350</v>
      </c>
      <c r="Q58" s="13">
        <v>1900</v>
      </c>
      <c r="R58" s="13">
        <v>10500</v>
      </c>
      <c r="S58" s="18">
        <v>0.2</v>
      </c>
      <c r="T58" s="7" t="s">
        <v>39</v>
      </c>
      <c r="U58" s="18">
        <v>0.6</v>
      </c>
      <c r="V58" s="18">
        <v>0.05</v>
      </c>
      <c r="W58" s="7" t="s">
        <v>39</v>
      </c>
      <c r="X58" s="18">
        <v>0.39</v>
      </c>
      <c r="Y58" s="14">
        <f t="shared" si="8"/>
        <v>1.06402877697842</v>
      </c>
      <c r="Z58" s="60">
        <f t="shared" si="9"/>
        <v>6.5625</v>
      </c>
      <c r="AA58" s="60">
        <f t="shared" si="10"/>
        <v>27.73125</v>
      </c>
    </row>
    <row r="59" hidden="1" spans="1:27">
      <c r="A59" s="7" t="s">
        <v>33</v>
      </c>
      <c r="B59" s="7" t="s">
        <v>59</v>
      </c>
      <c r="C59" s="7" t="s">
        <v>60</v>
      </c>
      <c r="D59" s="7" t="s">
        <v>105</v>
      </c>
      <c r="E59" s="7" t="s">
        <v>76</v>
      </c>
      <c r="F59" s="7" t="s">
        <v>97</v>
      </c>
      <c r="G59" s="7"/>
      <c r="H59" s="18">
        <v>32</v>
      </c>
      <c r="I59" s="18">
        <v>4.97</v>
      </c>
      <c r="J59" s="18">
        <v>3.94</v>
      </c>
      <c r="K59" s="7">
        <v>1382</v>
      </c>
      <c r="L59" s="13">
        <v>0.258</v>
      </c>
      <c r="M59" s="13">
        <v>180</v>
      </c>
      <c r="N59" s="13">
        <v>370</v>
      </c>
      <c r="O59" s="13">
        <v>1000</v>
      </c>
      <c r="P59" s="13">
        <v>3500</v>
      </c>
      <c r="Q59" s="13">
        <v>5200</v>
      </c>
      <c r="R59" s="13">
        <v>26000</v>
      </c>
      <c r="S59" s="18">
        <v>4.2</v>
      </c>
      <c r="T59" s="14">
        <v>57</v>
      </c>
      <c r="U59" s="18">
        <v>0.57</v>
      </c>
      <c r="V59" s="18">
        <v>0.06</v>
      </c>
      <c r="W59" s="18">
        <v>1.56</v>
      </c>
      <c r="X59" s="18">
        <v>0.28</v>
      </c>
      <c r="Y59" s="14">
        <f t="shared" si="8"/>
        <v>1.26142131979695</v>
      </c>
      <c r="Z59" s="60">
        <f t="shared" si="9"/>
        <v>26</v>
      </c>
      <c r="AA59" s="60">
        <f t="shared" si="10"/>
        <v>49.7</v>
      </c>
    </row>
    <row r="60" hidden="1" spans="1:27">
      <c r="A60" s="7" t="s">
        <v>33</v>
      </c>
      <c r="B60" s="8" t="s">
        <v>59</v>
      </c>
      <c r="C60" s="8" t="s">
        <v>62</v>
      </c>
      <c r="D60" s="8" t="s">
        <v>106</v>
      </c>
      <c r="E60" s="7" t="s">
        <v>76</v>
      </c>
      <c r="F60" s="7" t="s">
        <v>50</v>
      </c>
      <c r="G60" s="54" t="s">
        <v>101</v>
      </c>
      <c r="H60" s="55">
        <v>24</v>
      </c>
      <c r="I60" s="53">
        <v>3.8</v>
      </c>
      <c r="J60" s="53">
        <v>2.6</v>
      </c>
      <c r="K60" s="8">
        <v>1573</v>
      </c>
      <c r="L60" s="13" t="s">
        <v>39</v>
      </c>
      <c r="M60" s="13" t="s">
        <v>39</v>
      </c>
      <c r="N60" s="13">
        <v>174.476584939701</v>
      </c>
      <c r="O60" s="13">
        <v>514.456004736188</v>
      </c>
      <c r="P60" s="13">
        <v>1675.4689666782</v>
      </c>
      <c r="Q60" s="13">
        <v>1426.50939714462</v>
      </c>
      <c r="R60" s="13">
        <v>7468.77292377274</v>
      </c>
      <c r="S60" s="53">
        <v>0.03</v>
      </c>
      <c r="T60" s="56">
        <v>65.9</v>
      </c>
      <c r="U60" s="7" t="s">
        <v>39</v>
      </c>
      <c r="V60" s="53">
        <v>0.01</v>
      </c>
      <c r="W60" s="53">
        <v>1.87</v>
      </c>
      <c r="X60" s="53">
        <v>0.35</v>
      </c>
      <c r="Y60" s="14">
        <f t="shared" si="8"/>
        <v>1.46153846153846</v>
      </c>
      <c r="Z60" s="60">
        <f t="shared" si="9"/>
        <v>14.5178068775827</v>
      </c>
      <c r="AA60" s="60">
        <f t="shared" si="10"/>
        <v>73.8644308748739</v>
      </c>
    </row>
    <row r="61" hidden="1" spans="1:27">
      <c r="A61" s="7" t="s">
        <v>33</v>
      </c>
      <c r="B61" s="8" t="s">
        <v>59</v>
      </c>
      <c r="C61" s="8" t="s">
        <v>62</v>
      </c>
      <c r="D61" s="8" t="s">
        <v>107</v>
      </c>
      <c r="E61" s="7" t="s">
        <v>76</v>
      </c>
      <c r="F61" s="7" t="s">
        <v>50</v>
      </c>
      <c r="G61" s="54" t="s">
        <v>101</v>
      </c>
      <c r="H61" s="55">
        <v>27.8</v>
      </c>
      <c r="I61" s="53">
        <v>4.1</v>
      </c>
      <c r="J61" s="53">
        <v>3.5</v>
      </c>
      <c r="K61" s="8">
        <v>1730</v>
      </c>
      <c r="L61" s="13" t="s">
        <v>39</v>
      </c>
      <c r="M61" s="13" t="s">
        <v>39</v>
      </c>
      <c r="N61" s="13">
        <v>124.574527462277</v>
      </c>
      <c r="O61" s="13">
        <v>473.658934404094</v>
      </c>
      <c r="P61" s="13">
        <v>1188.71091742651</v>
      </c>
      <c r="Q61" s="13">
        <v>836.859895841837</v>
      </c>
      <c r="R61" s="13">
        <v>4906.34796492763</v>
      </c>
      <c r="S61" s="53">
        <v>2.9</v>
      </c>
      <c r="T61" s="56">
        <v>56</v>
      </c>
      <c r="U61" s="7" t="s">
        <v>39</v>
      </c>
      <c r="V61" s="53">
        <v>0.11</v>
      </c>
      <c r="W61" s="53">
        <v>0.83</v>
      </c>
      <c r="X61" s="53">
        <v>0.17</v>
      </c>
      <c r="Y61" s="14">
        <f t="shared" si="8"/>
        <v>1.17142857142857</v>
      </c>
      <c r="Z61" s="60">
        <f t="shared" si="9"/>
        <v>10.358398435153</v>
      </c>
      <c r="AA61" s="60">
        <f t="shared" si="10"/>
        <v>86.5601744672708</v>
      </c>
    </row>
    <row r="62" hidden="1" spans="1:27">
      <c r="A62" s="7" t="s">
        <v>33</v>
      </c>
      <c r="B62" s="8" t="s">
        <v>59</v>
      </c>
      <c r="C62" s="8" t="s">
        <v>62</v>
      </c>
      <c r="D62" s="8" t="s">
        <v>108</v>
      </c>
      <c r="E62" s="7" t="s">
        <v>76</v>
      </c>
      <c r="F62" s="7" t="s">
        <v>50</v>
      </c>
      <c r="G62" s="54" t="s">
        <v>101</v>
      </c>
      <c r="H62" s="55">
        <v>24.4</v>
      </c>
      <c r="I62" s="53">
        <v>2.9</v>
      </c>
      <c r="J62" s="53">
        <v>1.8</v>
      </c>
      <c r="K62" s="8">
        <v>1494</v>
      </c>
      <c r="L62" s="13" t="s">
        <v>39</v>
      </c>
      <c r="M62" s="13" t="s">
        <v>39</v>
      </c>
      <c r="N62" s="13">
        <v>384.666461110813</v>
      </c>
      <c r="O62" s="13">
        <v>1521.34161478054</v>
      </c>
      <c r="P62" s="13">
        <v>2001.8271996777</v>
      </c>
      <c r="Q62" s="13">
        <v>528.304006279356</v>
      </c>
      <c r="R62" s="13">
        <v>2668.27943951846</v>
      </c>
      <c r="S62" s="53">
        <v>2.1</v>
      </c>
      <c r="T62" s="56">
        <v>39</v>
      </c>
      <c r="U62" s="7" t="s">
        <v>39</v>
      </c>
      <c r="V62" s="53">
        <v>0.07</v>
      </c>
      <c r="W62" s="53">
        <v>0.4</v>
      </c>
      <c r="X62" s="53">
        <v>0.02</v>
      </c>
      <c r="Y62" s="14">
        <f t="shared" si="8"/>
        <v>1.61111111111111</v>
      </c>
      <c r="Z62" s="60">
        <f t="shared" si="9"/>
        <v>1.75389893604098</v>
      </c>
      <c r="AA62" s="60">
        <f t="shared" si="10"/>
        <v>19.0621223519106</v>
      </c>
    </row>
    <row r="63" hidden="1" spans="1:27">
      <c r="A63" s="7" t="s">
        <v>33</v>
      </c>
      <c r="B63" s="7" t="s">
        <v>59</v>
      </c>
      <c r="C63" s="7" t="s">
        <v>64</v>
      </c>
      <c r="D63" s="7" t="s">
        <v>109</v>
      </c>
      <c r="E63" s="7" t="s">
        <v>76</v>
      </c>
      <c r="F63" s="7" t="s">
        <v>38</v>
      </c>
      <c r="G63" s="7"/>
      <c r="H63" s="18">
        <v>17.8</v>
      </c>
      <c r="I63" s="18">
        <v>2.538</v>
      </c>
      <c r="J63" s="18">
        <v>2</v>
      </c>
      <c r="K63" s="7">
        <v>920</v>
      </c>
      <c r="L63" s="13" t="s">
        <v>39</v>
      </c>
      <c r="M63" s="13" t="s">
        <v>39</v>
      </c>
      <c r="N63" s="13">
        <v>237</v>
      </c>
      <c r="O63" s="13">
        <v>797</v>
      </c>
      <c r="P63" s="13">
        <v>1570</v>
      </c>
      <c r="Q63" s="13">
        <v>740</v>
      </c>
      <c r="R63" s="13">
        <v>4030</v>
      </c>
      <c r="S63" s="18">
        <v>0.45</v>
      </c>
      <c r="T63" s="7" t="s">
        <v>39</v>
      </c>
      <c r="U63" s="18">
        <v>0.87</v>
      </c>
      <c r="V63" s="18">
        <v>0.18</v>
      </c>
      <c r="W63" s="18">
        <v>0.99</v>
      </c>
      <c r="X63" s="18">
        <v>0.27</v>
      </c>
      <c r="Y63" s="14">
        <f t="shared" si="8"/>
        <v>1.269</v>
      </c>
      <c r="Z63" s="60">
        <f t="shared" si="9"/>
        <v>5.0564617314931</v>
      </c>
      <c r="AA63" s="60">
        <f t="shared" si="10"/>
        <v>31.8444165621079</v>
      </c>
    </row>
    <row r="64" hidden="1" spans="1:27">
      <c r="A64" s="7" t="s">
        <v>33</v>
      </c>
      <c r="B64" s="7" t="s">
        <v>59</v>
      </c>
      <c r="C64" s="7" t="s">
        <v>64</v>
      </c>
      <c r="D64" s="7" t="s">
        <v>110</v>
      </c>
      <c r="E64" s="7" t="s">
        <v>76</v>
      </c>
      <c r="F64" s="7" t="s">
        <v>38</v>
      </c>
      <c r="G64" s="7"/>
      <c r="H64" s="18">
        <v>37</v>
      </c>
      <c r="I64" s="18">
        <v>5.5295</v>
      </c>
      <c r="J64" s="18">
        <v>2.5</v>
      </c>
      <c r="K64" s="7">
        <v>2100</v>
      </c>
      <c r="L64" s="13" t="s">
        <v>39</v>
      </c>
      <c r="M64" s="13">
        <v>546</v>
      </c>
      <c r="N64" s="13">
        <v>785</v>
      </c>
      <c r="O64" s="13">
        <v>3250</v>
      </c>
      <c r="P64" s="13">
        <v>5050</v>
      </c>
      <c r="Q64" s="13">
        <v>1242.5</v>
      </c>
      <c r="R64" s="13">
        <v>6550</v>
      </c>
      <c r="S64" s="18">
        <v>0.31</v>
      </c>
      <c r="T64" s="7" t="s">
        <v>39</v>
      </c>
      <c r="U64" s="18">
        <v>0.21</v>
      </c>
      <c r="V64" s="18">
        <v>0.07</v>
      </c>
      <c r="W64" s="18">
        <v>0.89</v>
      </c>
      <c r="X64" s="18">
        <v>0.077</v>
      </c>
      <c r="Y64" s="14">
        <f t="shared" si="8"/>
        <v>2.2118</v>
      </c>
      <c r="Z64" s="60">
        <f t="shared" si="9"/>
        <v>2.01538461538462</v>
      </c>
      <c r="AA64" s="60">
        <f t="shared" si="10"/>
        <v>17.0138461538462</v>
      </c>
    </row>
    <row r="65" hidden="1" spans="1:27">
      <c r="A65" s="7" t="s">
        <v>33</v>
      </c>
      <c r="B65" s="7" t="s">
        <v>59</v>
      </c>
      <c r="C65" s="7" t="s">
        <v>64</v>
      </c>
      <c r="D65" s="7" t="s">
        <v>111</v>
      </c>
      <c r="E65" s="7" t="s">
        <v>76</v>
      </c>
      <c r="F65" s="7" t="s">
        <v>38</v>
      </c>
      <c r="G65" s="7"/>
      <c r="H65" s="18">
        <v>22.6</v>
      </c>
      <c r="I65" s="18">
        <v>3.7925</v>
      </c>
      <c r="J65" s="18">
        <v>1.93</v>
      </c>
      <c r="K65" s="7">
        <v>1300</v>
      </c>
      <c r="L65" s="13" t="s">
        <v>39</v>
      </c>
      <c r="M65" s="13" t="s">
        <v>39</v>
      </c>
      <c r="N65" s="13">
        <v>177</v>
      </c>
      <c r="O65" s="13">
        <v>430</v>
      </c>
      <c r="P65" s="13">
        <v>1800</v>
      </c>
      <c r="Q65" s="13">
        <v>940</v>
      </c>
      <c r="R65" s="13">
        <v>5170</v>
      </c>
      <c r="S65" s="18">
        <v>5.4</v>
      </c>
      <c r="T65" s="7" t="s">
        <v>39</v>
      </c>
      <c r="U65" s="18">
        <v>3.6</v>
      </c>
      <c r="V65" s="18">
        <v>0.96</v>
      </c>
      <c r="W65" s="18">
        <v>1.1</v>
      </c>
      <c r="X65" s="18">
        <v>0.074</v>
      </c>
      <c r="Y65" s="14">
        <f t="shared" si="8"/>
        <v>1.96502590673575</v>
      </c>
      <c r="Z65" s="60">
        <f t="shared" si="9"/>
        <v>12.0232558139535</v>
      </c>
      <c r="AA65" s="60">
        <f t="shared" si="10"/>
        <v>88.1976744186046</v>
      </c>
    </row>
    <row r="66" hidden="1" spans="1:27">
      <c r="A66" s="7" t="s">
        <v>33</v>
      </c>
      <c r="B66" s="7" t="s">
        <v>59</v>
      </c>
      <c r="C66" s="7" t="s">
        <v>64</v>
      </c>
      <c r="D66" s="7" t="s">
        <v>112</v>
      </c>
      <c r="E66" s="7" t="s">
        <v>76</v>
      </c>
      <c r="F66" s="7" t="s">
        <v>38</v>
      </c>
      <c r="G66" s="7"/>
      <c r="H66" s="18">
        <v>28.4</v>
      </c>
      <c r="I66" s="18">
        <v>4.1206</v>
      </c>
      <c r="J66" s="18">
        <v>2.5</v>
      </c>
      <c r="K66" s="7">
        <v>1400</v>
      </c>
      <c r="L66" s="13" t="s">
        <v>39</v>
      </c>
      <c r="M66" s="13" t="s">
        <v>39</v>
      </c>
      <c r="N66" s="13">
        <v>25</v>
      </c>
      <c r="O66" s="13">
        <v>25</v>
      </c>
      <c r="P66" s="13">
        <v>600</v>
      </c>
      <c r="Q66" s="13">
        <v>950</v>
      </c>
      <c r="R66" s="13">
        <v>5300</v>
      </c>
      <c r="S66" s="18">
        <v>0.41</v>
      </c>
      <c r="T66" s="7" t="s">
        <v>39</v>
      </c>
      <c r="U66" s="18">
        <v>0.54</v>
      </c>
      <c r="V66" s="18">
        <v>0.16</v>
      </c>
      <c r="W66" s="18">
        <v>0.65</v>
      </c>
      <c r="X66" s="18">
        <v>0.14</v>
      </c>
      <c r="Y66" s="14">
        <f t="shared" si="8"/>
        <v>1.64824</v>
      </c>
      <c r="Z66" s="60">
        <f t="shared" si="9"/>
        <v>212</v>
      </c>
      <c r="AA66" s="60">
        <f t="shared" si="10"/>
        <v>1648.24</v>
      </c>
    </row>
    <row r="67" hidden="1" spans="1:27">
      <c r="A67" s="7" t="s">
        <v>33</v>
      </c>
      <c r="B67" s="7" t="s">
        <v>59</v>
      </c>
      <c r="C67" s="7" t="s">
        <v>64</v>
      </c>
      <c r="D67" s="7" t="s">
        <v>113</v>
      </c>
      <c r="E67" s="7" t="s">
        <v>76</v>
      </c>
      <c r="F67" s="7" t="s">
        <v>38</v>
      </c>
      <c r="G67" s="7"/>
      <c r="H67" s="18">
        <v>22</v>
      </c>
      <c r="I67" s="18">
        <v>3.2521</v>
      </c>
      <c r="J67" s="18">
        <v>2.5</v>
      </c>
      <c r="K67" s="7">
        <v>1200</v>
      </c>
      <c r="L67" s="13" t="s">
        <v>39</v>
      </c>
      <c r="M67" s="13" t="s">
        <v>39</v>
      </c>
      <c r="N67" s="13">
        <v>100</v>
      </c>
      <c r="O67" s="13">
        <v>227</v>
      </c>
      <c r="P67" s="13">
        <v>1100</v>
      </c>
      <c r="Q67" s="13">
        <v>1600</v>
      </c>
      <c r="R67" s="13">
        <v>6200</v>
      </c>
      <c r="S67" s="18">
        <v>0.53</v>
      </c>
      <c r="T67" s="7" t="s">
        <v>39</v>
      </c>
      <c r="U67" s="18">
        <v>1.1</v>
      </c>
      <c r="V67" s="18">
        <v>0.27</v>
      </c>
      <c r="W67" s="18">
        <v>0.75</v>
      </c>
      <c r="X67" s="18">
        <v>0.24</v>
      </c>
      <c r="Y67" s="14">
        <f t="shared" si="8"/>
        <v>1.30084</v>
      </c>
      <c r="Z67" s="60">
        <f t="shared" si="9"/>
        <v>27.3127753303965</v>
      </c>
      <c r="AA67" s="60">
        <f t="shared" si="10"/>
        <v>143.264317180617</v>
      </c>
    </row>
    <row r="68" hidden="1" spans="1:27">
      <c r="A68" s="7" t="s">
        <v>33</v>
      </c>
      <c r="B68" s="7" t="s">
        <v>59</v>
      </c>
      <c r="C68" s="7" t="s">
        <v>64</v>
      </c>
      <c r="D68" s="7" t="s">
        <v>114</v>
      </c>
      <c r="E68" s="7" t="s">
        <v>76</v>
      </c>
      <c r="F68" s="7" t="s">
        <v>38</v>
      </c>
      <c r="G68" s="7"/>
      <c r="H68" s="18">
        <v>36.5</v>
      </c>
      <c r="I68" s="18">
        <v>4.8926</v>
      </c>
      <c r="J68" s="18">
        <v>4.97</v>
      </c>
      <c r="K68" s="7">
        <v>2000</v>
      </c>
      <c r="L68" s="13">
        <v>524</v>
      </c>
      <c r="M68" s="13">
        <v>571</v>
      </c>
      <c r="N68" s="13">
        <v>670</v>
      </c>
      <c r="O68" s="13">
        <v>3100</v>
      </c>
      <c r="P68" s="13">
        <v>4500</v>
      </c>
      <c r="Q68" s="13">
        <v>1170</v>
      </c>
      <c r="R68" s="13">
        <v>6100</v>
      </c>
      <c r="S68" s="18">
        <v>0.29</v>
      </c>
      <c r="T68" s="7" t="s">
        <v>39</v>
      </c>
      <c r="U68" s="18">
        <v>0.22</v>
      </c>
      <c r="V68" s="18">
        <v>0.11</v>
      </c>
      <c r="W68" s="18">
        <v>1.1</v>
      </c>
      <c r="X68" s="18">
        <v>0.16</v>
      </c>
      <c r="Y68" s="14">
        <f t="shared" si="8"/>
        <v>0.984426559356137</v>
      </c>
      <c r="Z68" s="60">
        <f t="shared" si="9"/>
        <v>1.96774193548387</v>
      </c>
      <c r="AA68" s="60">
        <f t="shared" si="10"/>
        <v>15.7825806451613</v>
      </c>
    </row>
    <row r="69" hidden="1" spans="1:27">
      <c r="A69" s="7" t="s">
        <v>33</v>
      </c>
      <c r="B69" s="7" t="s">
        <v>34</v>
      </c>
      <c r="C69" s="7" t="s">
        <v>35</v>
      </c>
      <c r="D69" s="7" t="s">
        <v>115</v>
      </c>
      <c r="E69" s="7" t="s">
        <v>76</v>
      </c>
      <c r="F69" s="7" t="s">
        <v>38</v>
      </c>
      <c r="G69" s="7"/>
      <c r="H69" s="18">
        <v>35.4</v>
      </c>
      <c r="I69" s="18">
        <v>4.59</v>
      </c>
      <c r="J69" s="18">
        <v>6.67</v>
      </c>
      <c r="K69" s="7">
        <v>1670</v>
      </c>
      <c r="L69" s="13">
        <v>186</v>
      </c>
      <c r="M69" s="13">
        <v>134</v>
      </c>
      <c r="N69" s="13">
        <v>210</v>
      </c>
      <c r="O69" s="13">
        <v>705</v>
      </c>
      <c r="P69" s="13">
        <v>1613</v>
      </c>
      <c r="Q69" s="13">
        <v>2200</v>
      </c>
      <c r="R69" s="13">
        <v>11500</v>
      </c>
      <c r="S69" s="18">
        <v>0.22</v>
      </c>
      <c r="T69" s="7" t="s">
        <v>39</v>
      </c>
      <c r="U69" s="18">
        <v>0.41</v>
      </c>
      <c r="V69" s="18">
        <v>0.28</v>
      </c>
      <c r="W69" s="7" t="s">
        <v>39</v>
      </c>
      <c r="X69" s="18">
        <v>0.19</v>
      </c>
      <c r="Y69" s="14">
        <f t="shared" si="8"/>
        <v>0.68815592203898</v>
      </c>
      <c r="Z69" s="60">
        <f t="shared" si="9"/>
        <v>16.3120567375887</v>
      </c>
      <c r="AA69" s="60">
        <f t="shared" si="10"/>
        <v>65.1063829787234</v>
      </c>
    </row>
    <row r="70" hidden="1" spans="1:27">
      <c r="A70" s="7" t="s">
        <v>33</v>
      </c>
      <c r="B70" s="7" t="s">
        <v>34</v>
      </c>
      <c r="C70" s="7" t="s">
        <v>35</v>
      </c>
      <c r="D70" s="7" t="s">
        <v>116</v>
      </c>
      <c r="E70" s="7" t="s">
        <v>76</v>
      </c>
      <c r="F70" s="7" t="s">
        <v>38</v>
      </c>
      <c r="G70" s="7"/>
      <c r="H70" s="18">
        <v>35.4</v>
      </c>
      <c r="I70" s="18">
        <v>4.707</v>
      </c>
      <c r="J70" s="18">
        <v>6.7</v>
      </c>
      <c r="K70" s="7">
        <v>1700</v>
      </c>
      <c r="L70" s="13" t="s">
        <v>39</v>
      </c>
      <c r="M70" s="13" t="s">
        <v>39</v>
      </c>
      <c r="N70" s="13">
        <v>167</v>
      </c>
      <c r="O70" s="13">
        <v>487</v>
      </c>
      <c r="P70" s="13">
        <v>1300</v>
      </c>
      <c r="Q70" s="13">
        <v>2670</v>
      </c>
      <c r="R70" s="13">
        <v>12000</v>
      </c>
      <c r="S70" s="18">
        <v>0.13</v>
      </c>
      <c r="T70" s="7" t="s">
        <v>39</v>
      </c>
      <c r="U70" s="18">
        <v>1</v>
      </c>
      <c r="V70" s="18">
        <v>0.23</v>
      </c>
      <c r="W70" s="7" t="s">
        <v>39</v>
      </c>
      <c r="X70" s="18">
        <v>0.29</v>
      </c>
      <c r="Y70" s="14">
        <f t="shared" si="8"/>
        <v>0.702537313432836</v>
      </c>
      <c r="Z70" s="60">
        <f t="shared" si="9"/>
        <v>24.6406570841889</v>
      </c>
      <c r="AA70" s="60">
        <f t="shared" si="10"/>
        <v>96.652977412731</v>
      </c>
    </row>
    <row r="71" hidden="1" spans="1:27">
      <c r="A71" s="7" t="s">
        <v>33</v>
      </c>
      <c r="B71" s="7" t="s">
        <v>34</v>
      </c>
      <c r="C71" s="7" t="s">
        <v>48</v>
      </c>
      <c r="D71" s="7" t="s">
        <v>117</v>
      </c>
      <c r="E71" s="7" t="s">
        <v>76</v>
      </c>
      <c r="F71" s="7" t="s">
        <v>38</v>
      </c>
      <c r="G71" s="7"/>
      <c r="H71" s="18">
        <v>33.75</v>
      </c>
      <c r="I71" s="18">
        <v>3.66</v>
      </c>
      <c r="J71" s="18">
        <v>5.37</v>
      </c>
      <c r="K71" s="7">
        <v>1438</v>
      </c>
      <c r="L71" s="13" t="s">
        <v>39</v>
      </c>
      <c r="M71" s="13">
        <v>16</v>
      </c>
      <c r="N71" s="13">
        <v>13.6</v>
      </c>
      <c r="O71" s="13">
        <v>22</v>
      </c>
      <c r="P71" s="13">
        <v>190</v>
      </c>
      <c r="Q71" s="13">
        <v>2550</v>
      </c>
      <c r="R71" s="13">
        <v>11000</v>
      </c>
      <c r="S71" s="18">
        <v>0.41</v>
      </c>
      <c r="T71" s="7" t="s">
        <v>39</v>
      </c>
      <c r="U71" s="18">
        <v>0.93</v>
      </c>
      <c r="V71" s="18">
        <v>0.1</v>
      </c>
      <c r="W71" s="18">
        <v>0.92</v>
      </c>
      <c r="X71" s="18">
        <v>0.37</v>
      </c>
      <c r="Y71" s="14">
        <f t="shared" si="8"/>
        <v>0.681564245810056</v>
      </c>
      <c r="Z71" s="60">
        <f t="shared" si="9"/>
        <v>500</v>
      </c>
      <c r="AA71" s="60">
        <f t="shared" si="10"/>
        <v>1663.63636363636</v>
      </c>
    </row>
    <row r="72" hidden="1" spans="1:27">
      <c r="A72" s="7" t="s">
        <v>33</v>
      </c>
      <c r="B72" s="7" t="s">
        <v>34</v>
      </c>
      <c r="C72" s="7" t="s">
        <v>48</v>
      </c>
      <c r="D72" s="7" t="s">
        <v>118</v>
      </c>
      <c r="E72" s="7" t="s">
        <v>76</v>
      </c>
      <c r="F72" s="7" t="s">
        <v>38</v>
      </c>
      <c r="G72" s="7"/>
      <c r="H72" s="18">
        <v>36.15</v>
      </c>
      <c r="I72" s="18">
        <v>3.75</v>
      </c>
      <c r="J72" s="18">
        <v>6.53</v>
      </c>
      <c r="K72" s="7">
        <v>1562</v>
      </c>
      <c r="L72" s="13">
        <v>169</v>
      </c>
      <c r="M72" s="13">
        <v>67.5</v>
      </c>
      <c r="N72" s="13">
        <v>60</v>
      </c>
      <c r="O72" s="13">
        <v>260</v>
      </c>
      <c r="P72" s="13">
        <v>652.6</v>
      </c>
      <c r="Q72" s="13">
        <v>2950</v>
      </c>
      <c r="R72" s="13">
        <v>18000</v>
      </c>
      <c r="S72" s="18">
        <v>0.47</v>
      </c>
      <c r="T72" s="14">
        <v>47</v>
      </c>
      <c r="U72" s="18">
        <v>2.2</v>
      </c>
      <c r="V72" s="18">
        <v>0.06</v>
      </c>
      <c r="W72" s="18">
        <v>0.9</v>
      </c>
      <c r="X72" s="18">
        <v>0.66</v>
      </c>
      <c r="Y72" s="14">
        <f t="shared" si="8"/>
        <v>0.57427258805513</v>
      </c>
      <c r="Z72" s="60">
        <f t="shared" si="9"/>
        <v>69.2307692307692</v>
      </c>
      <c r="AA72" s="60">
        <f t="shared" si="10"/>
        <v>144.230769230769</v>
      </c>
    </row>
    <row r="73" hidden="1" spans="1:27">
      <c r="A73" s="7" t="s">
        <v>33</v>
      </c>
      <c r="B73" s="7" t="s">
        <v>34</v>
      </c>
      <c r="C73" s="7" t="s">
        <v>48</v>
      </c>
      <c r="D73" s="7" t="s">
        <v>119</v>
      </c>
      <c r="E73" s="7" t="s">
        <v>76</v>
      </c>
      <c r="F73" s="7" t="s">
        <v>38</v>
      </c>
      <c r="G73" s="7"/>
      <c r="H73" s="18">
        <v>20.85</v>
      </c>
      <c r="I73" s="18">
        <v>2.21</v>
      </c>
      <c r="J73" s="18">
        <v>3.97</v>
      </c>
      <c r="K73" s="7">
        <v>990</v>
      </c>
      <c r="L73" s="13" t="s">
        <v>39</v>
      </c>
      <c r="M73" s="13" t="s">
        <v>39</v>
      </c>
      <c r="N73" s="13">
        <v>11.7</v>
      </c>
      <c r="O73" s="13">
        <v>20</v>
      </c>
      <c r="P73" s="13">
        <v>167</v>
      </c>
      <c r="Q73" s="13">
        <v>1100</v>
      </c>
      <c r="R73" s="13">
        <v>5230</v>
      </c>
      <c r="S73" s="18">
        <v>0.37</v>
      </c>
      <c r="T73" s="7" t="s">
        <v>39</v>
      </c>
      <c r="U73" s="18">
        <v>1.3</v>
      </c>
      <c r="V73" s="18">
        <v>0.16</v>
      </c>
      <c r="W73" s="18">
        <v>0.62</v>
      </c>
      <c r="X73" s="18">
        <v>0.11</v>
      </c>
      <c r="Y73" s="14">
        <f t="shared" si="8"/>
        <v>0.556675062972292</v>
      </c>
      <c r="Z73" s="60">
        <f t="shared" si="9"/>
        <v>261.5</v>
      </c>
      <c r="AA73" s="60">
        <f t="shared" si="10"/>
        <v>1105</v>
      </c>
    </row>
    <row r="74" hidden="1" spans="1:27">
      <c r="A74" s="7" t="s">
        <v>33</v>
      </c>
      <c r="B74" s="7" t="s">
        <v>34</v>
      </c>
      <c r="C74" s="7" t="s">
        <v>48</v>
      </c>
      <c r="D74" s="7" t="s">
        <v>120</v>
      </c>
      <c r="E74" s="7" t="s">
        <v>76</v>
      </c>
      <c r="F74" s="7" t="s">
        <v>38</v>
      </c>
      <c r="G74" s="7"/>
      <c r="H74" s="18">
        <v>24.5</v>
      </c>
      <c r="I74" s="18">
        <v>2.64</v>
      </c>
      <c r="J74" s="18">
        <v>5</v>
      </c>
      <c r="K74" s="7">
        <v>871</v>
      </c>
      <c r="L74" s="13" t="s">
        <v>39</v>
      </c>
      <c r="M74" s="13" t="s">
        <v>39</v>
      </c>
      <c r="N74" s="13">
        <v>13.7</v>
      </c>
      <c r="O74" s="13">
        <v>28</v>
      </c>
      <c r="P74" s="13">
        <v>143</v>
      </c>
      <c r="Q74" s="13">
        <v>2100</v>
      </c>
      <c r="R74" s="13">
        <v>9333</v>
      </c>
      <c r="S74" s="18">
        <v>0.28</v>
      </c>
      <c r="T74" s="7" t="s">
        <v>39</v>
      </c>
      <c r="U74" s="18">
        <v>2.8</v>
      </c>
      <c r="V74" s="18">
        <v>0.2</v>
      </c>
      <c r="W74" s="18">
        <v>1.3</v>
      </c>
      <c r="X74" s="18">
        <v>0.47</v>
      </c>
      <c r="Y74" s="14">
        <f t="shared" si="8"/>
        <v>0.528</v>
      </c>
      <c r="Z74" s="60">
        <f t="shared" si="9"/>
        <v>333.321428571429</v>
      </c>
      <c r="AA74" s="60">
        <f t="shared" si="10"/>
        <v>942.857142857143</v>
      </c>
    </row>
    <row r="75" hidden="1" spans="1:27">
      <c r="A75" s="7" t="s">
        <v>33</v>
      </c>
      <c r="B75" s="7" t="s">
        <v>34</v>
      </c>
      <c r="C75" s="7" t="s">
        <v>48</v>
      </c>
      <c r="D75" s="7" t="s">
        <v>121</v>
      </c>
      <c r="E75" s="7" t="s">
        <v>76</v>
      </c>
      <c r="F75" s="7" t="s">
        <v>38</v>
      </c>
      <c r="G75" s="7"/>
      <c r="H75" s="18">
        <v>30.7</v>
      </c>
      <c r="I75" s="18">
        <v>3.55</v>
      </c>
      <c r="J75" s="18">
        <v>6.52</v>
      </c>
      <c r="K75" s="7">
        <v>1273</v>
      </c>
      <c r="L75" s="13">
        <v>85.23</v>
      </c>
      <c r="M75" s="13">
        <v>20.5</v>
      </c>
      <c r="N75" s="13">
        <v>44.5</v>
      </c>
      <c r="O75" s="13">
        <v>140</v>
      </c>
      <c r="P75" s="13">
        <v>365</v>
      </c>
      <c r="Q75" s="13">
        <v>4000</v>
      </c>
      <c r="R75" s="13">
        <v>15500</v>
      </c>
      <c r="S75" s="18">
        <v>1.1</v>
      </c>
      <c r="T75" s="7" t="s">
        <v>39</v>
      </c>
      <c r="U75" s="18">
        <v>3.85</v>
      </c>
      <c r="V75" s="18">
        <v>0.12</v>
      </c>
      <c r="W75" s="18">
        <v>1.5</v>
      </c>
      <c r="X75" s="18">
        <v>0.625</v>
      </c>
      <c r="Y75" s="14">
        <f t="shared" si="8"/>
        <v>0.544478527607362</v>
      </c>
      <c r="Z75" s="60">
        <f t="shared" si="9"/>
        <v>110.714285714286</v>
      </c>
      <c r="AA75" s="60">
        <f t="shared" si="10"/>
        <v>253.571428571429</v>
      </c>
    </row>
    <row r="76" hidden="1" spans="1:27">
      <c r="A76" s="7" t="s">
        <v>33</v>
      </c>
      <c r="B76" s="7" t="s">
        <v>34</v>
      </c>
      <c r="C76" s="7" t="s">
        <v>48</v>
      </c>
      <c r="D76" s="7" t="s">
        <v>122</v>
      </c>
      <c r="E76" s="7" t="s">
        <v>76</v>
      </c>
      <c r="F76" s="7" t="s">
        <v>38</v>
      </c>
      <c r="G76" s="7"/>
      <c r="H76" s="18">
        <v>29.1</v>
      </c>
      <c r="I76" s="18">
        <v>3.14</v>
      </c>
      <c r="J76" s="18">
        <v>6.9</v>
      </c>
      <c r="K76" s="7">
        <v>1217</v>
      </c>
      <c r="L76" s="13" t="s">
        <v>39</v>
      </c>
      <c r="M76" s="13">
        <v>10</v>
      </c>
      <c r="N76" s="13">
        <v>20.6</v>
      </c>
      <c r="O76" s="13">
        <v>38</v>
      </c>
      <c r="P76" s="13">
        <v>240</v>
      </c>
      <c r="Q76" s="13">
        <v>2800</v>
      </c>
      <c r="R76" s="13">
        <v>15570</v>
      </c>
      <c r="S76" s="18">
        <v>0.54</v>
      </c>
      <c r="T76" s="7" t="s">
        <v>39</v>
      </c>
      <c r="U76" s="18">
        <v>3.45</v>
      </c>
      <c r="V76" s="18">
        <v>0.12</v>
      </c>
      <c r="W76" s="18">
        <v>1.2</v>
      </c>
      <c r="X76" s="18">
        <v>0.65</v>
      </c>
      <c r="Y76" s="14">
        <f t="shared" si="8"/>
        <v>0.455072463768116</v>
      </c>
      <c r="Z76" s="60">
        <f t="shared" si="9"/>
        <v>409.736842105263</v>
      </c>
      <c r="AA76" s="60">
        <f t="shared" si="10"/>
        <v>826.315789473684</v>
      </c>
    </row>
    <row r="77" hidden="1" spans="1:27">
      <c r="A77" s="7" t="s">
        <v>33</v>
      </c>
      <c r="B77" s="7" t="s">
        <v>34</v>
      </c>
      <c r="C77" s="7" t="s">
        <v>48</v>
      </c>
      <c r="D77" s="7" t="s">
        <v>123</v>
      </c>
      <c r="E77" s="7" t="s">
        <v>76</v>
      </c>
      <c r="F77" s="7" t="s">
        <v>38</v>
      </c>
      <c r="G77" s="7"/>
      <c r="H77" s="18">
        <v>33.525</v>
      </c>
      <c r="I77" s="18">
        <v>4.5</v>
      </c>
      <c r="J77" s="18">
        <v>8.64</v>
      </c>
      <c r="K77" s="7">
        <v>1308</v>
      </c>
      <c r="L77" s="13" t="s">
        <v>39</v>
      </c>
      <c r="M77" s="13">
        <v>7</v>
      </c>
      <c r="N77" s="13">
        <v>4.4</v>
      </c>
      <c r="O77" s="13">
        <v>8.5</v>
      </c>
      <c r="P77" s="13">
        <v>98</v>
      </c>
      <c r="Q77" s="13">
        <v>2300</v>
      </c>
      <c r="R77" s="13">
        <v>18000</v>
      </c>
      <c r="S77" s="18">
        <v>1.36</v>
      </c>
      <c r="T77" s="14">
        <v>78</v>
      </c>
      <c r="U77" s="18">
        <v>2.7</v>
      </c>
      <c r="V77" s="18">
        <v>0.09</v>
      </c>
      <c r="W77" s="18">
        <v>2.8</v>
      </c>
      <c r="X77" s="18">
        <v>0.965</v>
      </c>
      <c r="Y77" s="14">
        <f t="shared" si="8"/>
        <v>0.520833333333333</v>
      </c>
      <c r="Z77" s="60">
        <f t="shared" si="9"/>
        <v>2117.64705882353</v>
      </c>
      <c r="AA77" s="60">
        <f t="shared" si="10"/>
        <v>5294.11764705882</v>
      </c>
    </row>
    <row r="78" hidden="1" spans="1:27">
      <c r="A78" s="7" t="s">
        <v>33</v>
      </c>
      <c r="B78" s="7" t="s">
        <v>34</v>
      </c>
      <c r="C78" s="7" t="s">
        <v>48</v>
      </c>
      <c r="D78" s="7" t="s">
        <v>124</v>
      </c>
      <c r="E78" s="7" t="s">
        <v>76</v>
      </c>
      <c r="F78" s="7" t="s">
        <v>38</v>
      </c>
      <c r="G78" s="7"/>
      <c r="H78" s="18">
        <v>21.15</v>
      </c>
      <c r="I78" s="18">
        <v>2.08</v>
      </c>
      <c r="J78" s="18">
        <v>4.27</v>
      </c>
      <c r="K78" s="7">
        <v>918</v>
      </c>
      <c r="L78" s="13" t="s">
        <v>39</v>
      </c>
      <c r="M78" s="13" t="s">
        <v>39</v>
      </c>
      <c r="N78" s="13">
        <v>14</v>
      </c>
      <c r="O78" s="13">
        <v>16.7</v>
      </c>
      <c r="P78" s="13">
        <v>187</v>
      </c>
      <c r="Q78" s="13">
        <v>1700</v>
      </c>
      <c r="R78" s="13">
        <v>6370</v>
      </c>
      <c r="S78" s="18">
        <v>0.17</v>
      </c>
      <c r="T78" s="7" t="s">
        <v>39</v>
      </c>
      <c r="U78" s="18">
        <v>2.3</v>
      </c>
      <c r="V78" s="18">
        <v>0.2</v>
      </c>
      <c r="W78" s="18">
        <v>0.75</v>
      </c>
      <c r="X78" s="18">
        <v>0.23</v>
      </c>
      <c r="Y78" s="14">
        <f t="shared" si="8"/>
        <v>0.48711943793911</v>
      </c>
      <c r="Z78" s="60">
        <f t="shared" si="9"/>
        <v>381.437125748503</v>
      </c>
      <c r="AA78" s="60">
        <f t="shared" si="10"/>
        <v>1245.50898203593</v>
      </c>
    </row>
    <row r="79" hidden="1" spans="1:27">
      <c r="A79" s="7" t="s">
        <v>33</v>
      </c>
      <c r="B79" s="7" t="s">
        <v>34</v>
      </c>
      <c r="C79" s="7" t="s">
        <v>48</v>
      </c>
      <c r="D79" s="7" t="s">
        <v>125</v>
      </c>
      <c r="E79" s="7" t="s">
        <v>76</v>
      </c>
      <c r="F79" s="7" t="s">
        <v>38</v>
      </c>
      <c r="G79" s="7"/>
      <c r="H79" s="18">
        <v>29.05</v>
      </c>
      <c r="I79" s="18">
        <v>2.88</v>
      </c>
      <c r="J79" s="18">
        <v>10.25</v>
      </c>
      <c r="K79" s="7">
        <v>1070</v>
      </c>
      <c r="L79" s="13" t="s">
        <v>39</v>
      </c>
      <c r="M79" s="13">
        <v>24.5</v>
      </c>
      <c r="N79" s="13">
        <v>44.5</v>
      </c>
      <c r="O79" s="13">
        <v>89.5</v>
      </c>
      <c r="P79" s="13">
        <v>455</v>
      </c>
      <c r="Q79" s="13">
        <v>6150</v>
      </c>
      <c r="R79" s="13">
        <v>20000</v>
      </c>
      <c r="S79" s="18">
        <v>1.07</v>
      </c>
      <c r="T79" s="7" t="s">
        <v>39</v>
      </c>
      <c r="U79" s="18">
        <v>9.75</v>
      </c>
      <c r="V79" s="18">
        <v>0.14</v>
      </c>
      <c r="W79" s="18">
        <v>5.8</v>
      </c>
      <c r="X79" s="18">
        <v>2.25</v>
      </c>
      <c r="Y79" s="14">
        <f t="shared" si="8"/>
        <v>0.280975609756098</v>
      </c>
      <c r="Z79" s="60">
        <f t="shared" si="9"/>
        <v>223.463687150838</v>
      </c>
      <c r="AA79" s="60">
        <f t="shared" si="10"/>
        <v>321.787709497207</v>
      </c>
    </row>
    <row r="80" hidden="1" spans="1:27">
      <c r="A80" s="7" t="s">
        <v>33</v>
      </c>
      <c r="B80" s="7" t="s">
        <v>34</v>
      </c>
      <c r="C80" s="7" t="s">
        <v>48</v>
      </c>
      <c r="D80" s="7" t="s">
        <v>126</v>
      </c>
      <c r="E80" s="7" t="s">
        <v>76</v>
      </c>
      <c r="F80" s="7" t="s">
        <v>38</v>
      </c>
      <c r="G80" s="7"/>
      <c r="H80" s="18">
        <v>32.45</v>
      </c>
      <c r="I80" s="18">
        <v>3.03</v>
      </c>
      <c r="J80" s="18">
        <v>12.3</v>
      </c>
      <c r="K80" s="7">
        <v>966</v>
      </c>
      <c r="L80" s="13">
        <v>26.27</v>
      </c>
      <c r="M80" s="13">
        <v>6</v>
      </c>
      <c r="N80" s="13">
        <v>6</v>
      </c>
      <c r="O80" s="13">
        <v>18</v>
      </c>
      <c r="P80" s="13">
        <v>85</v>
      </c>
      <c r="Q80" s="13">
        <v>4191</v>
      </c>
      <c r="R80" s="13">
        <v>21256</v>
      </c>
      <c r="S80" s="18">
        <v>1.3</v>
      </c>
      <c r="T80" s="14">
        <v>76</v>
      </c>
      <c r="U80" s="18">
        <v>6.7</v>
      </c>
      <c r="V80" s="18">
        <v>0.35</v>
      </c>
      <c r="W80" s="18">
        <v>4.3</v>
      </c>
      <c r="X80" s="18">
        <v>1.35</v>
      </c>
      <c r="Y80" s="14">
        <f t="shared" si="8"/>
        <v>0.246341463414634</v>
      </c>
      <c r="Z80" s="60">
        <f t="shared" si="9"/>
        <v>1180.88888888889</v>
      </c>
      <c r="AA80" s="60">
        <f t="shared" si="10"/>
        <v>1683.33333333333</v>
      </c>
    </row>
    <row r="81" hidden="1" spans="1:27">
      <c r="A81" s="7" t="s">
        <v>33</v>
      </c>
      <c r="B81" s="7" t="s">
        <v>34</v>
      </c>
      <c r="C81" s="7" t="s">
        <v>48</v>
      </c>
      <c r="D81" s="7" t="s">
        <v>127</v>
      </c>
      <c r="E81" s="7" t="s">
        <v>76</v>
      </c>
      <c r="F81" s="7" t="s">
        <v>97</v>
      </c>
      <c r="G81" s="7"/>
      <c r="H81" s="18">
        <v>33.8</v>
      </c>
      <c r="I81" s="18">
        <v>3.62</v>
      </c>
      <c r="J81" s="18">
        <v>9.88</v>
      </c>
      <c r="K81" s="7">
        <v>1364</v>
      </c>
      <c r="L81" s="13" t="s">
        <v>39</v>
      </c>
      <c r="M81" s="13">
        <v>36</v>
      </c>
      <c r="N81" s="13">
        <v>48.6</v>
      </c>
      <c r="O81" s="13">
        <v>158</v>
      </c>
      <c r="P81" s="13">
        <v>430</v>
      </c>
      <c r="Q81" s="13">
        <v>3100</v>
      </c>
      <c r="R81" s="13">
        <v>18000</v>
      </c>
      <c r="S81" s="18">
        <v>5</v>
      </c>
      <c r="T81" s="14">
        <v>63.1</v>
      </c>
      <c r="U81" s="18">
        <v>2.11</v>
      </c>
      <c r="V81" s="18">
        <v>0.12</v>
      </c>
      <c r="W81" s="18">
        <v>2.02</v>
      </c>
      <c r="X81" s="18">
        <v>0.86</v>
      </c>
      <c r="Y81" s="14">
        <f t="shared" si="8"/>
        <v>0.366396761133603</v>
      </c>
      <c r="Z81" s="60">
        <f t="shared" si="9"/>
        <v>113.924050632911</v>
      </c>
      <c r="AA81" s="60">
        <f t="shared" si="10"/>
        <v>229.113924050633</v>
      </c>
    </row>
    <row r="82" hidden="1" spans="1:27">
      <c r="A82" s="7" t="s">
        <v>33</v>
      </c>
      <c r="B82" s="7" t="s">
        <v>34</v>
      </c>
      <c r="C82" s="7" t="s">
        <v>128</v>
      </c>
      <c r="D82" s="7" t="s">
        <v>129</v>
      </c>
      <c r="E82" s="7" t="s">
        <v>76</v>
      </c>
      <c r="F82" s="7" t="s">
        <v>97</v>
      </c>
      <c r="G82" s="7"/>
      <c r="H82" s="18">
        <v>31.338</v>
      </c>
      <c r="I82" s="18">
        <v>3.421</v>
      </c>
      <c r="J82" s="18">
        <v>6.13</v>
      </c>
      <c r="K82" s="7">
        <v>1900</v>
      </c>
      <c r="L82" s="13" t="s">
        <v>39</v>
      </c>
      <c r="M82" s="13">
        <v>17.91</v>
      </c>
      <c r="N82" s="13">
        <v>48.58</v>
      </c>
      <c r="O82" s="13">
        <v>125.82</v>
      </c>
      <c r="P82" s="13">
        <v>556.01</v>
      </c>
      <c r="Q82" s="13">
        <v>1456.3</v>
      </c>
      <c r="R82" s="13">
        <v>7491.49</v>
      </c>
      <c r="S82" s="18">
        <v>2.9</v>
      </c>
      <c r="T82" s="14">
        <v>37.9</v>
      </c>
      <c r="U82" s="18">
        <v>0.82</v>
      </c>
      <c r="V82" s="7" t="s">
        <v>98</v>
      </c>
      <c r="W82" s="18">
        <v>0.64</v>
      </c>
      <c r="X82" s="18">
        <v>0.16</v>
      </c>
      <c r="Y82" s="14">
        <f t="shared" si="8"/>
        <v>0.558075040783034</v>
      </c>
      <c r="Z82" s="60">
        <f t="shared" si="9"/>
        <v>59.5413288825306</v>
      </c>
      <c r="AA82" s="60">
        <f t="shared" si="10"/>
        <v>271.896359879193</v>
      </c>
    </row>
    <row r="83" hidden="1" spans="1:27">
      <c r="A83" s="7" t="s">
        <v>33</v>
      </c>
      <c r="B83" s="7" t="s">
        <v>34</v>
      </c>
      <c r="C83" s="7" t="s">
        <v>128</v>
      </c>
      <c r="D83" s="7" t="s">
        <v>130</v>
      </c>
      <c r="E83" s="7" t="s">
        <v>76</v>
      </c>
      <c r="F83" s="7" t="s">
        <v>97</v>
      </c>
      <c r="G83" s="7"/>
      <c r="H83" s="18">
        <v>33.462</v>
      </c>
      <c r="I83" s="18">
        <v>3.679</v>
      </c>
      <c r="J83" s="18">
        <v>6.658</v>
      </c>
      <c r="K83" s="7">
        <v>1760</v>
      </c>
      <c r="L83" s="13" t="s">
        <v>39</v>
      </c>
      <c r="M83" s="13">
        <v>16.69</v>
      </c>
      <c r="N83" s="13">
        <v>48.69</v>
      </c>
      <c r="O83" s="13">
        <v>126.16</v>
      </c>
      <c r="P83" s="13">
        <v>541.99</v>
      </c>
      <c r="Q83" s="13">
        <v>1536.28</v>
      </c>
      <c r="R83" s="13">
        <v>8447.67</v>
      </c>
      <c r="S83" s="18">
        <v>3.5</v>
      </c>
      <c r="T83" s="14">
        <v>54.6</v>
      </c>
      <c r="U83" s="18">
        <v>0.78</v>
      </c>
      <c r="V83" s="7" t="s">
        <v>98</v>
      </c>
      <c r="W83" s="18">
        <v>1.03</v>
      </c>
      <c r="X83" s="18">
        <v>0.19</v>
      </c>
      <c r="Y83" s="14">
        <f t="shared" si="8"/>
        <v>0.552568338840493</v>
      </c>
      <c r="Z83" s="60">
        <f t="shared" si="9"/>
        <v>66.9599714648066</v>
      </c>
      <c r="AA83" s="60">
        <f t="shared" si="10"/>
        <v>291.613823715916</v>
      </c>
    </row>
    <row r="84" hidden="1" spans="1:27">
      <c r="A84" s="7" t="s">
        <v>33</v>
      </c>
      <c r="B84" s="7" t="s">
        <v>34</v>
      </c>
      <c r="C84" s="7" t="s">
        <v>128</v>
      </c>
      <c r="D84" s="7" t="s">
        <v>131</v>
      </c>
      <c r="E84" s="7" t="s">
        <v>76</v>
      </c>
      <c r="F84" s="7" t="s">
        <v>97</v>
      </c>
      <c r="G84" s="7"/>
      <c r="H84" s="18">
        <v>6.419</v>
      </c>
      <c r="I84" s="18">
        <v>0.62</v>
      </c>
      <c r="J84" s="18">
        <v>1.697</v>
      </c>
      <c r="K84" s="7" t="s">
        <v>132</v>
      </c>
      <c r="L84" s="13" t="s">
        <v>39</v>
      </c>
      <c r="M84" s="13">
        <v>1.5</v>
      </c>
      <c r="N84" s="13">
        <v>1.81</v>
      </c>
      <c r="O84" s="13">
        <v>4</v>
      </c>
      <c r="P84" s="13">
        <v>25.6</v>
      </c>
      <c r="Q84" s="13">
        <v>840.42</v>
      </c>
      <c r="R84" s="13">
        <v>3769.74</v>
      </c>
      <c r="S84" s="18">
        <v>1.8</v>
      </c>
      <c r="T84" s="14">
        <v>13.6</v>
      </c>
      <c r="U84" s="18">
        <v>1.75</v>
      </c>
      <c r="V84" s="18">
        <v>0.07</v>
      </c>
      <c r="W84" s="18">
        <v>0.97</v>
      </c>
      <c r="X84" s="18">
        <v>0.65</v>
      </c>
      <c r="Y84" s="14">
        <f t="shared" si="8"/>
        <v>0.365350618738951</v>
      </c>
      <c r="Z84" s="60">
        <f t="shared" si="9"/>
        <v>942.435</v>
      </c>
      <c r="AA84" s="60">
        <f t="shared" si="10"/>
        <v>1550</v>
      </c>
    </row>
    <row r="85" hidden="1" spans="1:27">
      <c r="A85" s="7" t="s">
        <v>33</v>
      </c>
      <c r="B85" s="8" t="s">
        <v>34</v>
      </c>
      <c r="C85" s="7" t="s">
        <v>48</v>
      </c>
      <c r="D85" s="7" t="s">
        <v>133</v>
      </c>
      <c r="E85" s="7" t="s">
        <v>134</v>
      </c>
      <c r="F85" s="7" t="s">
        <v>50</v>
      </c>
      <c r="G85" s="52"/>
      <c r="H85" s="14">
        <v>15.1387528852207</v>
      </c>
      <c r="I85" s="18">
        <v>1.35942733129475</v>
      </c>
      <c r="J85" s="14">
        <v>13.5008108576989</v>
      </c>
      <c r="K85" s="13">
        <v>314.592886388265</v>
      </c>
      <c r="L85" s="13" t="s">
        <v>39</v>
      </c>
      <c r="M85" s="13" t="s">
        <v>39</v>
      </c>
      <c r="N85" s="13">
        <v>4.6139390199637</v>
      </c>
      <c r="O85" s="13">
        <v>5.79218909302398</v>
      </c>
      <c r="P85" s="13">
        <v>7.02864144493659</v>
      </c>
      <c r="Q85" s="13">
        <v>872.223018817827</v>
      </c>
      <c r="R85" s="13">
        <v>15430.6830051583</v>
      </c>
      <c r="S85" s="57">
        <v>1.38</v>
      </c>
      <c r="T85" s="58">
        <v>46.8</v>
      </c>
      <c r="U85" s="7" t="s">
        <v>39</v>
      </c>
      <c r="V85" s="57">
        <v>0.19</v>
      </c>
      <c r="W85" s="57">
        <v>5.17</v>
      </c>
      <c r="X85" s="57">
        <v>0.91</v>
      </c>
      <c r="Y85" s="14">
        <f t="shared" si="8"/>
        <v>0.100692272902967</v>
      </c>
      <c r="Z85" s="60">
        <f t="shared" si="9"/>
        <v>2664.0502851923</v>
      </c>
      <c r="AA85" s="60">
        <f t="shared" si="10"/>
        <v>2347.00095156082</v>
      </c>
    </row>
    <row r="86" hidden="1" spans="1:27">
      <c r="A86" s="7" t="s">
        <v>33</v>
      </c>
      <c r="B86" s="8" t="s">
        <v>34</v>
      </c>
      <c r="C86" s="7" t="s">
        <v>48</v>
      </c>
      <c r="D86" s="7" t="s">
        <v>135</v>
      </c>
      <c r="E86" s="7" t="s">
        <v>134</v>
      </c>
      <c r="F86" s="7" t="s">
        <v>50</v>
      </c>
      <c r="G86" s="52"/>
      <c r="H86" s="14">
        <v>14.5380087231087</v>
      </c>
      <c r="I86" s="18">
        <v>0.974387220118781</v>
      </c>
      <c r="J86" s="14">
        <v>10.7846713952032</v>
      </c>
      <c r="K86" s="13">
        <v>314.592886388265</v>
      </c>
      <c r="L86" s="13" t="s">
        <v>39</v>
      </c>
      <c r="M86" s="13" t="s">
        <v>39</v>
      </c>
      <c r="N86" s="13">
        <v>1.59624604402142</v>
      </c>
      <c r="O86" s="13">
        <v>9.51388806676505</v>
      </c>
      <c r="P86" s="13">
        <v>1.96575640079349</v>
      </c>
      <c r="Q86" s="13">
        <v>10599.4598657292</v>
      </c>
      <c r="R86" s="13">
        <v>10869.8165096545</v>
      </c>
      <c r="S86" s="57">
        <v>2.52</v>
      </c>
      <c r="T86" s="58">
        <v>47.2</v>
      </c>
      <c r="U86" s="7" t="s">
        <v>39</v>
      </c>
      <c r="V86" s="57">
        <v>0.23</v>
      </c>
      <c r="W86" s="57">
        <v>6.67</v>
      </c>
      <c r="X86" s="57">
        <v>0.86</v>
      </c>
      <c r="Y86" s="14">
        <f t="shared" si="8"/>
        <v>0.0903492730016942</v>
      </c>
      <c r="Z86" s="60">
        <f t="shared" si="9"/>
        <v>1142.52095813762</v>
      </c>
      <c r="AA86" s="60">
        <f t="shared" si="10"/>
        <v>1024.17351694794</v>
      </c>
    </row>
    <row r="87" hidden="1" spans="1:27">
      <c r="A87" s="7" t="s">
        <v>33</v>
      </c>
      <c r="B87" s="7" t="s">
        <v>34</v>
      </c>
      <c r="C87" s="7" t="s">
        <v>48</v>
      </c>
      <c r="D87" s="7" t="s">
        <v>136</v>
      </c>
      <c r="E87" s="7" t="s">
        <v>137</v>
      </c>
      <c r="F87" s="7" t="s">
        <v>38</v>
      </c>
      <c r="G87" s="7"/>
      <c r="H87" s="18">
        <v>34</v>
      </c>
      <c r="I87" s="18">
        <v>1.82</v>
      </c>
      <c r="J87" s="18">
        <v>21.47</v>
      </c>
      <c r="K87" s="7">
        <v>939</v>
      </c>
      <c r="L87" s="13" t="s">
        <v>39</v>
      </c>
      <c r="M87" s="13" t="s">
        <v>39</v>
      </c>
      <c r="N87" s="13">
        <v>9</v>
      </c>
      <c r="O87" s="13">
        <v>29.3</v>
      </c>
      <c r="P87" s="13">
        <v>67</v>
      </c>
      <c r="Q87" s="13">
        <v>4300</v>
      </c>
      <c r="R87" s="13">
        <v>39000</v>
      </c>
      <c r="S87" s="18">
        <v>0.35</v>
      </c>
      <c r="T87" s="14">
        <v>104</v>
      </c>
      <c r="U87" s="18">
        <v>14.7</v>
      </c>
      <c r="V87" s="18">
        <v>0.52</v>
      </c>
      <c r="W87" s="18">
        <v>14</v>
      </c>
      <c r="X87" s="18">
        <v>4.1</v>
      </c>
      <c r="Y87" s="14">
        <f t="shared" si="8"/>
        <v>0.0847694457382394</v>
      </c>
      <c r="Z87" s="60">
        <f t="shared" si="9"/>
        <v>1331.05802047782</v>
      </c>
      <c r="AA87" s="60">
        <f t="shared" si="10"/>
        <v>621.160409556314</v>
      </c>
    </row>
    <row r="88" hidden="1" spans="1:27">
      <c r="A88" s="7" t="s">
        <v>33</v>
      </c>
      <c r="B88" s="7" t="s">
        <v>34</v>
      </c>
      <c r="C88" s="7" t="s">
        <v>48</v>
      </c>
      <c r="D88" s="7" t="s">
        <v>138</v>
      </c>
      <c r="E88" s="7" t="s">
        <v>137</v>
      </c>
      <c r="F88" s="7" t="s">
        <v>38</v>
      </c>
      <c r="G88" s="7"/>
      <c r="H88" s="18">
        <v>32.925</v>
      </c>
      <c r="I88" s="18">
        <v>1.39</v>
      </c>
      <c r="J88" s="18">
        <v>22.25</v>
      </c>
      <c r="K88" s="7">
        <v>394</v>
      </c>
      <c r="L88" s="13" t="s">
        <v>39</v>
      </c>
      <c r="M88" s="13" t="s">
        <v>39</v>
      </c>
      <c r="N88" s="13">
        <v>5</v>
      </c>
      <c r="O88" s="13">
        <v>5</v>
      </c>
      <c r="P88" s="13">
        <v>6</v>
      </c>
      <c r="Q88" s="13">
        <v>4100</v>
      </c>
      <c r="R88" s="13">
        <v>10500</v>
      </c>
      <c r="S88" s="18">
        <v>0.445</v>
      </c>
      <c r="T88" s="14">
        <v>72</v>
      </c>
      <c r="U88" s="18">
        <v>5.3</v>
      </c>
      <c r="V88" s="18">
        <v>0.06</v>
      </c>
      <c r="W88" s="18">
        <v>2</v>
      </c>
      <c r="X88" s="18">
        <v>0.32</v>
      </c>
      <c r="Y88" s="14">
        <f t="shared" si="8"/>
        <v>0.0624719101123595</v>
      </c>
      <c r="Z88" s="60">
        <f t="shared" si="9"/>
        <v>2100</v>
      </c>
      <c r="AA88" s="60">
        <f t="shared" si="10"/>
        <v>2780</v>
      </c>
    </row>
    <row r="89" hidden="1" spans="1:27">
      <c r="A89" s="7" t="s">
        <v>33</v>
      </c>
      <c r="B89" s="7" t="s">
        <v>34</v>
      </c>
      <c r="C89" s="7" t="s">
        <v>48</v>
      </c>
      <c r="D89" s="7" t="s">
        <v>139</v>
      </c>
      <c r="E89" s="7" t="s">
        <v>137</v>
      </c>
      <c r="F89" s="7" t="s">
        <v>38</v>
      </c>
      <c r="G89" s="7"/>
      <c r="H89" s="18">
        <v>31.7</v>
      </c>
      <c r="I89" s="18">
        <v>1.87</v>
      </c>
      <c r="J89" s="18">
        <v>29.3</v>
      </c>
      <c r="K89" s="7">
        <v>482</v>
      </c>
      <c r="L89" s="13" t="s">
        <v>39</v>
      </c>
      <c r="M89" s="13" t="s">
        <v>39</v>
      </c>
      <c r="N89" s="13">
        <v>5</v>
      </c>
      <c r="O89" s="13">
        <v>5</v>
      </c>
      <c r="P89" s="13">
        <v>9</v>
      </c>
      <c r="Q89" s="13">
        <v>4500</v>
      </c>
      <c r="R89" s="13">
        <v>39000</v>
      </c>
      <c r="S89" s="18">
        <v>1.4</v>
      </c>
      <c r="T89" s="7" t="s">
        <v>39</v>
      </c>
      <c r="U89" s="18">
        <v>8.9</v>
      </c>
      <c r="V89" s="18">
        <v>0.135</v>
      </c>
      <c r="W89" s="18">
        <v>16</v>
      </c>
      <c r="X89" s="18">
        <v>5.45</v>
      </c>
      <c r="Y89" s="14">
        <f t="shared" si="8"/>
        <v>0.0638225255972696</v>
      </c>
      <c r="Z89" s="60">
        <f t="shared" si="9"/>
        <v>7800</v>
      </c>
      <c r="AA89" s="60">
        <f t="shared" si="10"/>
        <v>3740</v>
      </c>
    </row>
    <row r="90" hidden="1" spans="1:27">
      <c r="A90" s="7" t="s">
        <v>33</v>
      </c>
      <c r="B90" s="7" t="s">
        <v>34</v>
      </c>
      <c r="C90" s="7" t="s">
        <v>48</v>
      </c>
      <c r="D90" s="7" t="s">
        <v>140</v>
      </c>
      <c r="E90" s="7" t="s">
        <v>137</v>
      </c>
      <c r="F90" s="7" t="s">
        <v>38</v>
      </c>
      <c r="G90" s="7"/>
      <c r="H90" s="18">
        <v>28.1</v>
      </c>
      <c r="I90" s="18">
        <v>2.12</v>
      </c>
      <c r="J90" s="18">
        <v>25.7</v>
      </c>
      <c r="K90" s="7">
        <v>587</v>
      </c>
      <c r="L90" s="13" t="s">
        <v>39</v>
      </c>
      <c r="M90" s="13" t="s">
        <v>39</v>
      </c>
      <c r="N90" s="13">
        <v>1.2</v>
      </c>
      <c r="O90" s="13">
        <v>5</v>
      </c>
      <c r="P90" s="13">
        <v>32.4</v>
      </c>
      <c r="Q90" s="13">
        <v>44258</v>
      </c>
      <c r="R90" s="13">
        <v>39000</v>
      </c>
      <c r="S90" s="18">
        <v>8.1</v>
      </c>
      <c r="T90" s="14">
        <v>93</v>
      </c>
      <c r="U90" s="18">
        <v>15.7</v>
      </c>
      <c r="V90" s="18">
        <v>1.4</v>
      </c>
      <c r="W90" s="18">
        <v>14</v>
      </c>
      <c r="X90" s="18">
        <v>7.2</v>
      </c>
      <c r="Y90" s="14">
        <f t="shared" si="8"/>
        <v>0.0824902723735409</v>
      </c>
      <c r="Z90" s="60">
        <f t="shared" si="9"/>
        <v>7800</v>
      </c>
      <c r="AA90" s="60">
        <f t="shared" si="10"/>
        <v>4240</v>
      </c>
    </row>
    <row r="91" hidden="1" spans="1:27">
      <c r="A91" s="7" t="s">
        <v>33</v>
      </c>
      <c r="B91" s="7" t="s">
        <v>34</v>
      </c>
      <c r="C91" s="7" t="s">
        <v>48</v>
      </c>
      <c r="D91" s="7" t="s">
        <v>141</v>
      </c>
      <c r="E91" s="7" t="s">
        <v>137</v>
      </c>
      <c r="F91" s="7" t="s">
        <v>97</v>
      </c>
      <c r="G91" s="7"/>
      <c r="H91" s="18">
        <v>32.875</v>
      </c>
      <c r="I91" s="18">
        <v>1.8</v>
      </c>
      <c r="J91" s="18">
        <v>20.8</v>
      </c>
      <c r="K91" s="7">
        <v>954</v>
      </c>
      <c r="L91" s="13" t="s">
        <v>39</v>
      </c>
      <c r="M91" s="13">
        <v>9</v>
      </c>
      <c r="N91" s="13">
        <v>4.1</v>
      </c>
      <c r="O91" s="13">
        <v>15</v>
      </c>
      <c r="P91" s="13">
        <v>33.1</v>
      </c>
      <c r="Q91" s="13">
        <v>2600</v>
      </c>
      <c r="R91" s="13">
        <v>37000</v>
      </c>
      <c r="S91" s="18">
        <v>4.3</v>
      </c>
      <c r="T91" s="14">
        <v>87.4</v>
      </c>
      <c r="U91" s="18">
        <v>15.74</v>
      </c>
      <c r="V91" s="18">
        <v>0.52</v>
      </c>
      <c r="W91" s="18">
        <v>16.05</v>
      </c>
      <c r="X91" s="18">
        <v>6.12</v>
      </c>
      <c r="Y91" s="14">
        <f t="shared" si="8"/>
        <v>0.0865384615384615</v>
      </c>
      <c r="Z91" s="60">
        <f t="shared" si="9"/>
        <v>2466.66666666667</v>
      </c>
      <c r="AA91" s="60">
        <f t="shared" si="10"/>
        <v>1200</v>
      </c>
    </row>
    <row r="92" hidden="1" spans="1:27">
      <c r="A92" s="7" t="s">
        <v>33</v>
      </c>
      <c r="B92" s="7" t="s">
        <v>34</v>
      </c>
      <c r="C92" s="7" t="s">
        <v>48</v>
      </c>
      <c r="D92" s="7" t="s">
        <v>142</v>
      </c>
      <c r="E92" s="7" t="s">
        <v>137</v>
      </c>
      <c r="F92" s="7" t="s">
        <v>97</v>
      </c>
      <c r="G92" s="7"/>
      <c r="H92" s="18">
        <v>32.95</v>
      </c>
      <c r="I92" s="18">
        <v>2.13</v>
      </c>
      <c r="J92" s="18">
        <v>22.75</v>
      </c>
      <c r="K92" s="7">
        <v>908</v>
      </c>
      <c r="L92" s="13" t="s">
        <v>39</v>
      </c>
      <c r="M92" s="13">
        <v>43</v>
      </c>
      <c r="N92" s="13">
        <v>43.9</v>
      </c>
      <c r="O92" s="13">
        <v>96</v>
      </c>
      <c r="P92" s="13">
        <v>286.5</v>
      </c>
      <c r="Q92" s="13">
        <v>7500</v>
      </c>
      <c r="R92" s="13">
        <v>29150</v>
      </c>
      <c r="S92" s="18">
        <v>4.5</v>
      </c>
      <c r="T92" s="14">
        <v>74.5</v>
      </c>
      <c r="U92" s="18">
        <v>7.64</v>
      </c>
      <c r="V92" s="18">
        <v>0.42</v>
      </c>
      <c r="W92" s="18">
        <v>7.71</v>
      </c>
      <c r="X92" s="18">
        <v>2.5</v>
      </c>
      <c r="Y92" s="14">
        <f t="shared" si="8"/>
        <v>0.0936263736263736</v>
      </c>
      <c r="Z92" s="60">
        <f t="shared" si="9"/>
        <v>303.645833333333</v>
      </c>
      <c r="AA92" s="60">
        <f t="shared" si="10"/>
        <v>221.875</v>
      </c>
    </row>
    <row r="93" hidden="1" spans="1:27">
      <c r="A93" s="7" t="s">
        <v>33</v>
      </c>
      <c r="B93" s="7" t="s">
        <v>34</v>
      </c>
      <c r="C93" s="7" t="s">
        <v>48</v>
      </c>
      <c r="D93" s="7" t="s">
        <v>143</v>
      </c>
      <c r="E93" s="7" t="s">
        <v>137</v>
      </c>
      <c r="F93" s="7" t="s">
        <v>97</v>
      </c>
      <c r="G93" s="7"/>
      <c r="H93" s="18">
        <v>33.075</v>
      </c>
      <c r="I93" s="18">
        <v>2.56</v>
      </c>
      <c r="J93" s="18">
        <v>31.1</v>
      </c>
      <c r="K93" s="7">
        <v>623</v>
      </c>
      <c r="L93" s="13" t="s">
        <v>39</v>
      </c>
      <c r="M93" s="13" t="s">
        <v>39</v>
      </c>
      <c r="N93" s="13">
        <v>0.6</v>
      </c>
      <c r="O93" s="13">
        <v>5</v>
      </c>
      <c r="P93" s="13">
        <v>3.6</v>
      </c>
      <c r="Q93" s="13">
        <v>1900</v>
      </c>
      <c r="R93" s="13">
        <v>28000</v>
      </c>
      <c r="S93" s="18">
        <v>3.3</v>
      </c>
      <c r="T93" s="14">
        <v>89.5</v>
      </c>
      <c r="U93" s="18">
        <v>24.7</v>
      </c>
      <c r="V93" s="7" t="s">
        <v>98</v>
      </c>
      <c r="W93" s="18">
        <v>13.63</v>
      </c>
      <c r="X93" s="18">
        <v>0.87</v>
      </c>
      <c r="Y93" s="14">
        <f t="shared" si="8"/>
        <v>0.0823151125401929</v>
      </c>
      <c r="Z93" s="60">
        <f t="shared" si="9"/>
        <v>5600</v>
      </c>
      <c r="AA93" s="60">
        <f t="shared" si="10"/>
        <v>5120</v>
      </c>
    </row>
    <row r="94" hidden="1" spans="1:27">
      <c r="A94" s="7" t="s">
        <v>33</v>
      </c>
      <c r="B94" s="7" t="s">
        <v>34</v>
      </c>
      <c r="C94" s="7" t="s">
        <v>48</v>
      </c>
      <c r="D94" s="7" t="s">
        <v>144</v>
      </c>
      <c r="E94" s="7" t="s">
        <v>137</v>
      </c>
      <c r="F94" s="7" t="s">
        <v>97</v>
      </c>
      <c r="G94" s="7"/>
      <c r="H94" s="18">
        <v>32.598</v>
      </c>
      <c r="I94" s="18">
        <v>2.184</v>
      </c>
      <c r="J94" s="18">
        <v>20.637</v>
      </c>
      <c r="K94" s="7">
        <v>1200</v>
      </c>
      <c r="L94" s="13" t="s">
        <v>39</v>
      </c>
      <c r="M94" s="13">
        <v>2.85</v>
      </c>
      <c r="N94" s="13">
        <v>0.59</v>
      </c>
      <c r="O94" s="13">
        <v>9.49</v>
      </c>
      <c r="P94" s="13">
        <v>400.41</v>
      </c>
      <c r="Q94" s="13">
        <v>6759.79</v>
      </c>
      <c r="R94" s="13">
        <v>52601.81</v>
      </c>
      <c r="S94" s="18">
        <v>7.5</v>
      </c>
      <c r="T94" s="14">
        <v>128.6</v>
      </c>
      <c r="U94" s="18">
        <v>12.62</v>
      </c>
      <c r="V94" s="18">
        <v>0.54</v>
      </c>
      <c r="W94" s="18">
        <v>22.31</v>
      </c>
      <c r="X94" s="18">
        <v>11.3</v>
      </c>
      <c r="Y94" s="14">
        <f t="shared" si="8"/>
        <v>0.105829335659253</v>
      </c>
      <c r="Z94" s="60">
        <f t="shared" si="9"/>
        <v>5542.86722866175</v>
      </c>
      <c r="AA94" s="60">
        <f t="shared" si="10"/>
        <v>2301.3698630137</v>
      </c>
    </row>
    <row r="95" hidden="1" spans="1:27">
      <c r="A95" s="7" t="s">
        <v>33</v>
      </c>
      <c r="B95" s="7" t="s">
        <v>34</v>
      </c>
      <c r="C95" s="7" t="s">
        <v>48</v>
      </c>
      <c r="D95" s="7" t="s">
        <v>145</v>
      </c>
      <c r="E95" s="7" t="s">
        <v>137</v>
      </c>
      <c r="F95" s="7" t="s">
        <v>97</v>
      </c>
      <c r="G95" s="7"/>
      <c r="H95" s="18">
        <v>20.486</v>
      </c>
      <c r="I95" s="18">
        <v>1.109</v>
      </c>
      <c r="J95" s="18">
        <v>13.247</v>
      </c>
      <c r="K95" s="7">
        <v>430</v>
      </c>
      <c r="L95" s="13" t="s">
        <v>39</v>
      </c>
      <c r="M95" s="13">
        <v>0.95</v>
      </c>
      <c r="N95" s="13">
        <v>0.13</v>
      </c>
      <c r="O95" s="13">
        <v>1.64</v>
      </c>
      <c r="P95" s="13">
        <v>56.85</v>
      </c>
      <c r="Q95" s="13">
        <v>1333.06</v>
      </c>
      <c r="R95" s="13">
        <v>15275.77</v>
      </c>
      <c r="S95" s="18">
        <v>2.5</v>
      </c>
      <c r="T95" s="14">
        <v>58.9</v>
      </c>
      <c r="U95" s="18">
        <v>4.9</v>
      </c>
      <c r="V95" s="7" t="s">
        <v>98</v>
      </c>
      <c r="W95" s="18">
        <v>6.59</v>
      </c>
      <c r="X95" s="18">
        <v>2.12</v>
      </c>
      <c r="Y95" s="14">
        <f t="shared" ref="Y95:Y158" si="11">I95/J95</f>
        <v>0.0837170680153997</v>
      </c>
      <c r="Z95" s="60">
        <f t="shared" ref="Z95:Z158" si="12">R95/O95</f>
        <v>9314.49390243903</v>
      </c>
      <c r="AA95" s="60">
        <f t="shared" ref="AA95:AA158" si="13">I95*10000/O95</f>
        <v>6762.19512195122</v>
      </c>
    </row>
    <row r="96" hidden="1" spans="1:27">
      <c r="A96" s="7" t="s">
        <v>33</v>
      </c>
      <c r="B96" s="7" t="s">
        <v>34</v>
      </c>
      <c r="C96" s="7" t="s">
        <v>48</v>
      </c>
      <c r="D96" s="7" t="s">
        <v>146</v>
      </c>
      <c r="E96" s="7" t="s">
        <v>137</v>
      </c>
      <c r="F96" s="7" t="s">
        <v>38</v>
      </c>
      <c r="G96" s="7"/>
      <c r="H96" s="18">
        <v>7.405</v>
      </c>
      <c r="I96" s="18">
        <v>0.8396</v>
      </c>
      <c r="J96" s="18">
        <v>4</v>
      </c>
      <c r="K96" s="7">
        <v>200</v>
      </c>
      <c r="L96" s="13" t="s">
        <v>39</v>
      </c>
      <c r="M96" s="13" t="s">
        <v>39</v>
      </c>
      <c r="N96" s="13">
        <v>0.3</v>
      </c>
      <c r="O96" s="13">
        <v>0.5</v>
      </c>
      <c r="P96" s="13">
        <v>4.3</v>
      </c>
      <c r="Q96" s="13">
        <v>2300</v>
      </c>
      <c r="R96" s="13">
        <v>9100</v>
      </c>
      <c r="S96" s="18">
        <v>0.44</v>
      </c>
      <c r="T96" s="7" t="s">
        <v>39</v>
      </c>
      <c r="U96" s="18">
        <v>5.6</v>
      </c>
      <c r="V96" s="18">
        <v>0.33</v>
      </c>
      <c r="W96" s="18">
        <v>2.2</v>
      </c>
      <c r="X96" s="18">
        <v>1.5</v>
      </c>
      <c r="Y96" s="14">
        <f t="shared" si="11"/>
        <v>0.2099</v>
      </c>
      <c r="Z96" s="60">
        <f t="shared" si="12"/>
        <v>18200</v>
      </c>
      <c r="AA96" s="60">
        <f t="shared" si="13"/>
        <v>16792</v>
      </c>
    </row>
    <row r="97" hidden="1" spans="1:27">
      <c r="A97" s="7" t="s">
        <v>33</v>
      </c>
      <c r="B97" s="7" t="s">
        <v>34</v>
      </c>
      <c r="C97" s="7" t="s">
        <v>48</v>
      </c>
      <c r="D97" s="7" t="s">
        <v>147</v>
      </c>
      <c r="E97" s="7" t="s">
        <v>137</v>
      </c>
      <c r="F97" s="7" t="s">
        <v>38</v>
      </c>
      <c r="G97" s="7"/>
      <c r="H97" s="18">
        <v>32.7</v>
      </c>
      <c r="I97" s="18">
        <v>3.41</v>
      </c>
      <c r="J97" s="18">
        <v>26.6</v>
      </c>
      <c r="K97" s="7">
        <v>784</v>
      </c>
      <c r="L97" s="13">
        <v>12.3</v>
      </c>
      <c r="M97" s="13">
        <v>2.7</v>
      </c>
      <c r="N97" s="13">
        <v>5.8</v>
      </c>
      <c r="O97" s="13">
        <v>6</v>
      </c>
      <c r="P97" s="13">
        <v>148.8</v>
      </c>
      <c r="Q97" s="13">
        <v>140000</v>
      </c>
      <c r="R97" s="13">
        <v>103450</v>
      </c>
      <c r="S97" s="18">
        <v>47</v>
      </c>
      <c r="T97" s="14">
        <v>197</v>
      </c>
      <c r="U97" s="18">
        <v>51.5</v>
      </c>
      <c r="V97" s="18">
        <v>4.85</v>
      </c>
      <c r="W97" s="18">
        <v>75</v>
      </c>
      <c r="X97" s="18">
        <v>42</v>
      </c>
      <c r="Y97" s="14">
        <f t="shared" si="11"/>
        <v>0.128195488721805</v>
      </c>
      <c r="Z97" s="60">
        <f t="shared" si="12"/>
        <v>17241.6666666667</v>
      </c>
      <c r="AA97" s="60">
        <f t="shared" si="13"/>
        <v>5683.33333333333</v>
      </c>
    </row>
    <row r="98" hidden="1" spans="1:27">
      <c r="A98" s="7" t="s">
        <v>33</v>
      </c>
      <c r="B98" s="7" t="s">
        <v>34</v>
      </c>
      <c r="C98" s="7" t="s">
        <v>48</v>
      </c>
      <c r="D98" s="7" t="s">
        <v>148</v>
      </c>
      <c r="E98" s="7" t="s">
        <v>137</v>
      </c>
      <c r="F98" s="7" t="s">
        <v>38</v>
      </c>
      <c r="G98" s="7"/>
      <c r="H98" s="18">
        <v>33.5</v>
      </c>
      <c r="I98" s="18">
        <v>3.49</v>
      </c>
      <c r="J98" s="18">
        <v>28</v>
      </c>
      <c r="K98" s="7">
        <v>714</v>
      </c>
      <c r="L98" s="13">
        <v>13</v>
      </c>
      <c r="M98" s="13">
        <v>0.4</v>
      </c>
      <c r="N98" s="13">
        <v>0.9</v>
      </c>
      <c r="O98" s="13">
        <v>5</v>
      </c>
      <c r="P98" s="13">
        <v>14.5</v>
      </c>
      <c r="Q98" s="13">
        <v>20500</v>
      </c>
      <c r="R98" s="13">
        <v>140000</v>
      </c>
      <c r="S98" s="18">
        <v>1.2</v>
      </c>
      <c r="T98" s="14">
        <v>209</v>
      </c>
      <c r="U98" s="18">
        <v>59.3</v>
      </c>
      <c r="V98" s="18">
        <v>1.4</v>
      </c>
      <c r="W98" s="18">
        <v>80</v>
      </c>
      <c r="X98" s="18">
        <v>13</v>
      </c>
      <c r="Y98" s="14">
        <f t="shared" si="11"/>
        <v>0.124642857142857</v>
      </c>
      <c r="Z98" s="60">
        <f t="shared" si="12"/>
        <v>28000</v>
      </c>
      <c r="AA98" s="60">
        <f t="shared" si="13"/>
        <v>6980</v>
      </c>
    </row>
    <row r="99" hidden="1" spans="1:27">
      <c r="A99" s="7" t="s">
        <v>33</v>
      </c>
      <c r="B99" s="7" t="s">
        <v>34</v>
      </c>
      <c r="C99" s="7" t="s">
        <v>48</v>
      </c>
      <c r="D99" s="7" t="s">
        <v>149</v>
      </c>
      <c r="E99" s="7" t="s">
        <v>137</v>
      </c>
      <c r="F99" s="7" t="s">
        <v>38</v>
      </c>
      <c r="G99" s="7"/>
      <c r="H99" s="18">
        <v>30.1</v>
      </c>
      <c r="I99" s="18">
        <v>2.61</v>
      </c>
      <c r="J99" s="18">
        <v>27.15</v>
      </c>
      <c r="K99" s="7">
        <v>657</v>
      </c>
      <c r="L99" s="13">
        <v>8.9</v>
      </c>
      <c r="M99" s="13">
        <v>0.08</v>
      </c>
      <c r="N99" s="13">
        <v>0.5</v>
      </c>
      <c r="O99" s="13">
        <v>5</v>
      </c>
      <c r="P99" s="13">
        <v>10</v>
      </c>
      <c r="Q99" s="13">
        <v>21000</v>
      </c>
      <c r="R99" s="13">
        <v>119210</v>
      </c>
      <c r="S99" s="18">
        <v>1.95</v>
      </c>
      <c r="T99" s="14">
        <v>148</v>
      </c>
      <c r="U99" s="18">
        <v>84.5</v>
      </c>
      <c r="V99" s="18">
        <v>2</v>
      </c>
      <c r="W99" s="18">
        <v>38</v>
      </c>
      <c r="X99" s="18">
        <v>8.15</v>
      </c>
      <c r="Y99" s="14">
        <f t="shared" si="11"/>
        <v>0.0961325966850829</v>
      </c>
      <c r="Z99" s="60">
        <f t="shared" si="12"/>
        <v>23842</v>
      </c>
      <c r="AA99" s="60">
        <f t="shared" si="13"/>
        <v>5220</v>
      </c>
    </row>
    <row r="100" hidden="1" spans="1:27">
      <c r="A100" s="7" t="s">
        <v>33</v>
      </c>
      <c r="B100" s="7" t="s">
        <v>34</v>
      </c>
      <c r="C100" s="7" t="s">
        <v>48</v>
      </c>
      <c r="D100" s="7" t="s">
        <v>150</v>
      </c>
      <c r="E100" s="7" t="s">
        <v>137</v>
      </c>
      <c r="F100" s="7" t="s">
        <v>97</v>
      </c>
      <c r="G100" s="7"/>
      <c r="H100" s="18">
        <v>31.35</v>
      </c>
      <c r="I100" s="18">
        <v>2.48</v>
      </c>
      <c r="J100" s="18">
        <v>28.3</v>
      </c>
      <c r="K100" s="7">
        <v>588</v>
      </c>
      <c r="L100" s="13" t="s">
        <v>39</v>
      </c>
      <c r="M100" s="13" t="s">
        <v>39</v>
      </c>
      <c r="N100" s="13">
        <v>1.4</v>
      </c>
      <c r="O100" s="13">
        <v>5</v>
      </c>
      <c r="P100" s="13">
        <v>26</v>
      </c>
      <c r="Q100" s="13">
        <v>23000</v>
      </c>
      <c r="R100" s="13">
        <v>77000</v>
      </c>
      <c r="S100" s="18">
        <v>6.7</v>
      </c>
      <c r="T100" s="14">
        <v>111.9</v>
      </c>
      <c r="U100" s="18">
        <v>57.55</v>
      </c>
      <c r="V100" s="18">
        <v>2.84</v>
      </c>
      <c r="W100" s="18">
        <v>31.24</v>
      </c>
      <c r="X100" s="18">
        <v>19.61</v>
      </c>
      <c r="Y100" s="14">
        <f t="shared" si="11"/>
        <v>0.0876325088339223</v>
      </c>
      <c r="Z100" s="60">
        <f t="shared" si="12"/>
        <v>15400</v>
      </c>
      <c r="AA100" s="60">
        <f t="shared" si="13"/>
        <v>4960</v>
      </c>
    </row>
    <row r="101" hidden="1" spans="1:27">
      <c r="A101" s="7" t="s">
        <v>33</v>
      </c>
      <c r="B101" s="7" t="s">
        <v>34</v>
      </c>
      <c r="C101" s="7" t="s">
        <v>128</v>
      </c>
      <c r="D101" s="7" t="s">
        <v>151</v>
      </c>
      <c r="E101" s="7" t="s">
        <v>137</v>
      </c>
      <c r="F101" s="7" t="s">
        <v>97</v>
      </c>
      <c r="G101" s="7"/>
      <c r="H101" s="18">
        <v>19.581</v>
      </c>
      <c r="I101" s="18">
        <v>1.193</v>
      </c>
      <c r="J101" s="18">
        <v>12.389</v>
      </c>
      <c r="K101" s="7">
        <v>560</v>
      </c>
      <c r="L101" s="13" t="s">
        <v>39</v>
      </c>
      <c r="M101" s="13">
        <v>2.61</v>
      </c>
      <c r="N101" s="13">
        <v>2.02</v>
      </c>
      <c r="O101" s="13">
        <v>4.68</v>
      </c>
      <c r="P101" s="13">
        <v>5.49</v>
      </c>
      <c r="Q101" s="13">
        <v>894.81</v>
      </c>
      <c r="R101" s="13">
        <v>20042.47</v>
      </c>
      <c r="S101" s="18">
        <v>2.7</v>
      </c>
      <c r="T101" s="14">
        <v>47.4</v>
      </c>
      <c r="U101" s="18">
        <v>8.05</v>
      </c>
      <c r="V101" s="18">
        <v>0.12</v>
      </c>
      <c r="W101" s="18">
        <v>7.26</v>
      </c>
      <c r="X101" s="18">
        <v>4.21</v>
      </c>
      <c r="Y101" s="14">
        <f t="shared" si="11"/>
        <v>0.0962951004923723</v>
      </c>
      <c r="Z101" s="60">
        <f t="shared" si="12"/>
        <v>4282.57905982906</v>
      </c>
      <c r="AA101" s="60">
        <f t="shared" si="13"/>
        <v>2549.1452991453</v>
      </c>
    </row>
    <row r="102" hidden="1" spans="1:27">
      <c r="A102" s="28" t="s">
        <v>33</v>
      </c>
      <c r="B102" s="28" t="s">
        <v>59</v>
      </c>
      <c r="C102" s="28" t="s">
        <v>60</v>
      </c>
      <c r="D102" s="28" t="s">
        <v>152</v>
      </c>
      <c r="E102" s="28" t="s">
        <v>137</v>
      </c>
      <c r="F102" s="28" t="s">
        <v>38</v>
      </c>
      <c r="G102" s="28"/>
      <c r="H102" s="36">
        <v>12</v>
      </c>
      <c r="I102" s="36">
        <v>0.99</v>
      </c>
      <c r="J102" s="36">
        <v>12</v>
      </c>
      <c r="K102" s="28">
        <v>167</v>
      </c>
      <c r="L102" s="29" t="s">
        <v>39</v>
      </c>
      <c r="M102" s="29" t="s">
        <v>39</v>
      </c>
      <c r="N102" s="29">
        <v>5</v>
      </c>
      <c r="O102" s="29">
        <v>5</v>
      </c>
      <c r="P102" s="29">
        <v>5</v>
      </c>
      <c r="Q102" s="29">
        <v>3900</v>
      </c>
      <c r="R102" s="29">
        <v>30000</v>
      </c>
      <c r="S102" s="36">
        <v>1.3</v>
      </c>
      <c r="T102" s="28" t="s">
        <v>39</v>
      </c>
      <c r="U102" s="36">
        <v>4.5</v>
      </c>
      <c r="V102" s="36">
        <v>0.6</v>
      </c>
      <c r="W102" s="28" t="s">
        <v>39</v>
      </c>
      <c r="X102" s="36">
        <v>3.3</v>
      </c>
      <c r="Y102" s="62">
        <f t="shared" si="11"/>
        <v>0.0825</v>
      </c>
      <c r="Z102" s="63">
        <f t="shared" si="12"/>
        <v>6000</v>
      </c>
      <c r="AA102" s="63">
        <f t="shared" si="13"/>
        <v>1980</v>
      </c>
    </row>
    <row r="103" spans="1:27">
      <c r="A103" s="7" t="s">
        <v>153</v>
      </c>
      <c r="B103" s="7" t="s">
        <v>154</v>
      </c>
      <c r="C103" s="7" t="s">
        <v>155</v>
      </c>
      <c r="D103" s="7" t="s">
        <v>156</v>
      </c>
      <c r="E103" s="7" t="s">
        <v>37</v>
      </c>
      <c r="F103" s="7" t="s">
        <v>157</v>
      </c>
      <c r="G103" s="7"/>
      <c r="H103" s="7">
        <v>1.83</v>
      </c>
      <c r="I103" s="18">
        <v>0.5153</v>
      </c>
      <c r="J103" s="18">
        <v>0.5522</v>
      </c>
      <c r="K103" s="61">
        <v>142</v>
      </c>
      <c r="L103" s="7" t="s">
        <v>39</v>
      </c>
      <c r="M103" s="7" t="s">
        <v>39</v>
      </c>
      <c r="N103" s="13">
        <v>5.22</v>
      </c>
      <c r="O103" s="13">
        <v>9.27</v>
      </c>
      <c r="P103" s="13">
        <v>4.73</v>
      </c>
      <c r="Q103" s="13">
        <v>854</v>
      </c>
      <c r="R103" s="13">
        <v>213</v>
      </c>
      <c r="S103" s="7" t="s">
        <v>39</v>
      </c>
      <c r="T103" s="7" t="s">
        <v>39</v>
      </c>
      <c r="U103" s="7" t="s">
        <v>39</v>
      </c>
      <c r="V103" s="7" t="s">
        <v>39</v>
      </c>
      <c r="W103" s="7" t="s">
        <v>39</v>
      </c>
      <c r="X103" s="7" t="s">
        <v>39</v>
      </c>
      <c r="Y103" s="14">
        <f t="shared" si="11"/>
        <v>0.93317638536762</v>
      </c>
      <c r="Z103" s="60">
        <f t="shared" si="12"/>
        <v>22.9773462783172</v>
      </c>
      <c r="AA103" s="60">
        <f t="shared" si="13"/>
        <v>555.879180151025</v>
      </c>
    </row>
    <row r="104" spans="1:27">
      <c r="A104" s="7" t="s">
        <v>153</v>
      </c>
      <c r="B104" s="7" t="s">
        <v>154</v>
      </c>
      <c r="C104" s="7" t="s">
        <v>155</v>
      </c>
      <c r="D104" s="7" t="s">
        <v>158</v>
      </c>
      <c r="E104" s="7" t="s">
        <v>37</v>
      </c>
      <c r="F104" s="7" t="s">
        <v>157</v>
      </c>
      <c r="G104" s="7"/>
      <c r="H104" s="7">
        <v>1.33</v>
      </c>
      <c r="I104" s="18">
        <v>0.297</v>
      </c>
      <c r="J104" s="18">
        <v>0.0875</v>
      </c>
      <c r="K104" s="61">
        <v>117</v>
      </c>
      <c r="L104" s="7" t="s">
        <v>39</v>
      </c>
      <c r="M104" s="7" t="s">
        <v>39</v>
      </c>
      <c r="N104" s="13">
        <v>10.8</v>
      </c>
      <c r="O104" s="13">
        <v>9.89</v>
      </c>
      <c r="P104" s="13">
        <v>4.83</v>
      </c>
      <c r="Q104" s="13">
        <v>202</v>
      </c>
      <c r="R104" s="13">
        <v>86</v>
      </c>
      <c r="S104" s="7" t="s">
        <v>39</v>
      </c>
      <c r="T104" s="7" t="s">
        <v>39</v>
      </c>
      <c r="U104" s="7" t="s">
        <v>39</v>
      </c>
      <c r="V104" s="7" t="s">
        <v>39</v>
      </c>
      <c r="W104" s="7" t="s">
        <v>39</v>
      </c>
      <c r="X104" s="7" t="s">
        <v>39</v>
      </c>
      <c r="Y104" s="14">
        <f t="shared" si="11"/>
        <v>3.39428571428571</v>
      </c>
      <c r="Z104" s="60">
        <f t="shared" si="12"/>
        <v>8.69565217391304</v>
      </c>
      <c r="AA104" s="60">
        <f t="shared" si="13"/>
        <v>300.303336703741</v>
      </c>
    </row>
    <row r="105" spans="1:27">
      <c r="A105" s="7" t="s">
        <v>153</v>
      </c>
      <c r="B105" s="7" t="s">
        <v>154</v>
      </c>
      <c r="C105" s="7" t="s">
        <v>155</v>
      </c>
      <c r="D105" s="7" t="s">
        <v>159</v>
      </c>
      <c r="E105" s="7" t="s">
        <v>37</v>
      </c>
      <c r="F105" s="7" t="s">
        <v>157</v>
      </c>
      <c r="G105" s="7"/>
      <c r="H105" s="7">
        <v>0.58</v>
      </c>
      <c r="I105" s="18">
        <v>0.3216</v>
      </c>
      <c r="J105" s="18">
        <v>0.0846</v>
      </c>
      <c r="K105" s="61">
        <v>122</v>
      </c>
      <c r="L105" s="7" t="s">
        <v>39</v>
      </c>
      <c r="M105" s="7" t="s">
        <v>39</v>
      </c>
      <c r="N105" s="13">
        <v>0.19</v>
      </c>
      <c r="O105" s="13">
        <v>0.31</v>
      </c>
      <c r="P105" s="13">
        <v>0.1</v>
      </c>
      <c r="Q105" s="13">
        <v>1.81</v>
      </c>
      <c r="R105" s="13">
        <v>3.04</v>
      </c>
      <c r="S105" s="7" t="s">
        <v>39</v>
      </c>
      <c r="T105" s="7" t="s">
        <v>39</v>
      </c>
      <c r="U105" s="7" t="s">
        <v>39</v>
      </c>
      <c r="V105" s="7" t="s">
        <v>39</v>
      </c>
      <c r="W105" s="7" t="s">
        <v>39</v>
      </c>
      <c r="X105" s="7" t="s">
        <v>39</v>
      </c>
      <c r="Y105" s="14">
        <f t="shared" si="11"/>
        <v>3.80141843971631</v>
      </c>
      <c r="Z105" s="60">
        <f t="shared" si="12"/>
        <v>9.80645161290323</v>
      </c>
      <c r="AA105" s="60">
        <f t="shared" si="13"/>
        <v>10374.1935483871</v>
      </c>
    </row>
    <row r="106" spans="1:27">
      <c r="A106" s="7" t="s">
        <v>153</v>
      </c>
      <c r="B106" s="7" t="s">
        <v>154</v>
      </c>
      <c r="C106" s="7" t="s">
        <v>155</v>
      </c>
      <c r="D106" s="7" t="s">
        <v>160</v>
      </c>
      <c r="E106" s="7" t="s">
        <v>37</v>
      </c>
      <c r="F106" s="7" t="s">
        <v>157</v>
      </c>
      <c r="G106" s="7"/>
      <c r="H106" s="7">
        <v>0.2</v>
      </c>
      <c r="I106" s="18">
        <v>0.2514</v>
      </c>
      <c r="J106" s="18">
        <v>0.1213</v>
      </c>
      <c r="K106" s="61">
        <v>104</v>
      </c>
      <c r="L106" s="7" t="s">
        <v>39</v>
      </c>
      <c r="M106" s="7" t="s">
        <v>39</v>
      </c>
      <c r="N106" s="13">
        <v>3.39</v>
      </c>
      <c r="O106" s="13">
        <v>3.14</v>
      </c>
      <c r="P106" s="13">
        <v>1.35</v>
      </c>
      <c r="Q106" s="13">
        <v>59.3</v>
      </c>
      <c r="R106" s="13">
        <v>25.9</v>
      </c>
      <c r="S106" s="7" t="s">
        <v>39</v>
      </c>
      <c r="T106" s="7" t="s">
        <v>39</v>
      </c>
      <c r="U106" s="7" t="s">
        <v>39</v>
      </c>
      <c r="V106" s="7" t="s">
        <v>39</v>
      </c>
      <c r="W106" s="7" t="s">
        <v>39</v>
      </c>
      <c r="X106" s="7" t="s">
        <v>39</v>
      </c>
      <c r="Y106" s="14">
        <f t="shared" si="11"/>
        <v>2.07254740313273</v>
      </c>
      <c r="Z106" s="60">
        <f t="shared" si="12"/>
        <v>8.2484076433121</v>
      </c>
      <c r="AA106" s="60">
        <f t="shared" si="13"/>
        <v>800.636942675159</v>
      </c>
    </row>
    <row r="107" spans="1:27">
      <c r="A107" s="7" t="s">
        <v>153</v>
      </c>
      <c r="B107" s="7" t="s">
        <v>154</v>
      </c>
      <c r="C107" s="7" t="s">
        <v>155</v>
      </c>
      <c r="D107" s="7" t="s">
        <v>161</v>
      </c>
      <c r="E107" s="7" t="s">
        <v>37</v>
      </c>
      <c r="F107" s="7" t="s">
        <v>157</v>
      </c>
      <c r="G107" s="7"/>
      <c r="H107" s="7">
        <v>1.65</v>
      </c>
      <c r="I107" s="18">
        <v>0.5082</v>
      </c>
      <c r="J107" s="18">
        <v>0.2977</v>
      </c>
      <c r="K107" s="61">
        <v>180</v>
      </c>
      <c r="L107" s="7" t="s">
        <v>39</v>
      </c>
      <c r="M107" s="7" t="s">
        <v>39</v>
      </c>
      <c r="N107" s="13">
        <v>9.8</v>
      </c>
      <c r="O107" s="13">
        <v>8.42</v>
      </c>
      <c r="P107" s="13">
        <v>4.55</v>
      </c>
      <c r="Q107" s="13">
        <v>168.1</v>
      </c>
      <c r="R107" s="13">
        <v>98.1</v>
      </c>
      <c r="S107" s="7" t="s">
        <v>39</v>
      </c>
      <c r="T107" s="7" t="s">
        <v>39</v>
      </c>
      <c r="U107" s="7" t="s">
        <v>39</v>
      </c>
      <c r="V107" s="7" t="s">
        <v>39</v>
      </c>
      <c r="W107" s="7" t="s">
        <v>39</v>
      </c>
      <c r="X107" s="7" t="s">
        <v>39</v>
      </c>
      <c r="Y107" s="14">
        <f t="shared" si="11"/>
        <v>1.70708767215317</v>
      </c>
      <c r="Z107" s="60">
        <f t="shared" si="12"/>
        <v>11.6508313539192</v>
      </c>
      <c r="AA107" s="60">
        <f t="shared" si="13"/>
        <v>603.562945368171</v>
      </c>
    </row>
    <row r="108" spans="1:27">
      <c r="A108" s="7" t="s">
        <v>153</v>
      </c>
      <c r="B108" s="7" t="s">
        <v>154</v>
      </c>
      <c r="C108" s="7" t="s">
        <v>155</v>
      </c>
      <c r="D108" s="7" t="s">
        <v>162</v>
      </c>
      <c r="E108" s="7" t="s">
        <v>37</v>
      </c>
      <c r="F108" s="7" t="s">
        <v>157</v>
      </c>
      <c r="G108" s="7"/>
      <c r="H108" s="7">
        <v>1.69</v>
      </c>
      <c r="I108" s="18">
        <v>0.5515</v>
      </c>
      <c r="J108" s="18">
        <v>0.307</v>
      </c>
      <c r="K108" s="61">
        <v>212</v>
      </c>
      <c r="L108" s="7" t="s">
        <v>39</v>
      </c>
      <c r="M108" s="7" t="s">
        <v>39</v>
      </c>
      <c r="N108" s="13">
        <v>12.4</v>
      </c>
      <c r="O108" s="13">
        <v>11</v>
      </c>
      <c r="P108" s="13">
        <v>5.6</v>
      </c>
      <c r="Q108" s="13">
        <v>201.3</v>
      </c>
      <c r="R108" s="13">
        <v>94.9</v>
      </c>
      <c r="S108" s="7" t="s">
        <v>39</v>
      </c>
      <c r="T108" s="7" t="s">
        <v>39</v>
      </c>
      <c r="U108" s="7" t="s">
        <v>39</v>
      </c>
      <c r="V108" s="7" t="s">
        <v>39</v>
      </c>
      <c r="W108" s="7" t="s">
        <v>39</v>
      </c>
      <c r="X108" s="7" t="s">
        <v>39</v>
      </c>
      <c r="Y108" s="14">
        <f t="shared" si="11"/>
        <v>1.79641693811075</v>
      </c>
      <c r="Z108" s="60">
        <f t="shared" si="12"/>
        <v>8.62727272727273</v>
      </c>
      <c r="AA108" s="60">
        <f t="shared" si="13"/>
        <v>501.363636363636</v>
      </c>
    </row>
    <row r="109" spans="1:27">
      <c r="A109" s="7" t="s">
        <v>153</v>
      </c>
      <c r="B109" s="7" t="s">
        <v>154</v>
      </c>
      <c r="C109" s="7" t="s">
        <v>155</v>
      </c>
      <c r="D109" s="7" t="s">
        <v>163</v>
      </c>
      <c r="E109" s="7" t="s">
        <v>37</v>
      </c>
      <c r="F109" s="7" t="s">
        <v>157</v>
      </c>
      <c r="G109" s="7"/>
      <c r="H109" s="7">
        <v>2.87</v>
      </c>
      <c r="I109" s="18">
        <v>0.842</v>
      </c>
      <c r="J109" s="18">
        <v>0.7514</v>
      </c>
      <c r="K109" s="61">
        <v>246</v>
      </c>
      <c r="L109" s="7" t="s">
        <v>39</v>
      </c>
      <c r="M109" s="7" t="s">
        <v>39</v>
      </c>
      <c r="N109" s="13">
        <v>12.7</v>
      </c>
      <c r="O109" s="13">
        <v>19.8</v>
      </c>
      <c r="P109" s="13">
        <v>10.5</v>
      </c>
      <c r="Q109" s="13">
        <v>512.9</v>
      </c>
      <c r="R109" s="13">
        <v>266</v>
      </c>
      <c r="S109" s="7" t="s">
        <v>39</v>
      </c>
      <c r="T109" s="7" t="s">
        <v>39</v>
      </c>
      <c r="U109" s="7" t="s">
        <v>39</v>
      </c>
      <c r="V109" s="7" t="s">
        <v>39</v>
      </c>
      <c r="W109" s="7" t="s">
        <v>39</v>
      </c>
      <c r="X109" s="7" t="s">
        <v>39</v>
      </c>
      <c r="Y109" s="14">
        <f t="shared" si="11"/>
        <v>1.1205749268033</v>
      </c>
      <c r="Z109" s="60">
        <f t="shared" si="12"/>
        <v>13.4343434343434</v>
      </c>
      <c r="AA109" s="60">
        <f t="shared" si="13"/>
        <v>425.252525252525</v>
      </c>
    </row>
    <row r="110" spans="1:27">
      <c r="A110" s="7" t="s">
        <v>153</v>
      </c>
      <c r="B110" s="7" t="s">
        <v>154</v>
      </c>
      <c r="C110" s="7" t="s">
        <v>155</v>
      </c>
      <c r="D110" s="7" t="s">
        <v>164</v>
      </c>
      <c r="E110" s="7" t="s">
        <v>37</v>
      </c>
      <c r="F110" s="7" t="s">
        <v>157</v>
      </c>
      <c r="G110" s="7"/>
      <c r="H110" s="7">
        <v>2.18</v>
      </c>
      <c r="I110" s="18">
        <v>0.6066</v>
      </c>
      <c r="J110" s="18">
        <v>0.5898</v>
      </c>
      <c r="K110" s="61">
        <v>177</v>
      </c>
      <c r="L110" s="7" t="s">
        <v>39</v>
      </c>
      <c r="M110" s="7" t="s">
        <v>39</v>
      </c>
      <c r="N110" s="13">
        <v>13.8</v>
      </c>
      <c r="O110" s="13">
        <v>15.9</v>
      </c>
      <c r="P110" s="13">
        <v>7.08</v>
      </c>
      <c r="Q110" s="13">
        <v>451</v>
      </c>
      <c r="R110" s="13">
        <v>162</v>
      </c>
      <c r="S110" s="7" t="s">
        <v>39</v>
      </c>
      <c r="T110" s="7" t="s">
        <v>39</v>
      </c>
      <c r="U110" s="7" t="s">
        <v>39</v>
      </c>
      <c r="V110" s="7" t="s">
        <v>39</v>
      </c>
      <c r="W110" s="7" t="s">
        <v>39</v>
      </c>
      <c r="X110" s="7" t="s">
        <v>39</v>
      </c>
      <c r="Y110" s="14">
        <f t="shared" si="11"/>
        <v>1.02848423194303</v>
      </c>
      <c r="Z110" s="60">
        <f t="shared" si="12"/>
        <v>10.188679245283</v>
      </c>
      <c r="AA110" s="60">
        <f t="shared" si="13"/>
        <v>381.509433962264</v>
      </c>
    </row>
    <row r="111" spans="1:27">
      <c r="A111" s="7" t="s">
        <v>153</v>
      </c>
      <c r="B111" s="7" t="s">
        <v>154</v>
      </c>
      <c r="C111" s="7" t="s">
        <v>155</v>
      </c>
      <c r="D111" s="7" t="s">
        <v>165</v>
      </c>
      <c r="E111" s="7" t="s">
        <v>37</v>
      </c>
      <c r="F111" s="7" t="s">
        <v>157</v>
      </c>
      <c r="G111" s="7"/>
      <c r="H111" s="7">
        <v>4.27</v>
      </c>
      <c r="I111" s="18">
        <v>1.3644</v>
      </c>
      <c r="J111" s="18">
        <v>0.7431</v>
      </c>
      <c r="K111" s="61">
        <v>372</v>
      </c>
      <c r="L111" s="7" t="s">
        <v>39</v>
      </c>
      <c r="M111" s="7" t="s">
        <v>39</v>
      </c>
      <c r="N111" s="13">
        <v>20</v>
      </c>
      <c r="O111" s="13">
        <v>15.3</v>
      </c>
      <c r="P111" s="13">
        <v>7.31</v>
      </c>
      <c r="Q111" s="13">
        <v>276</v>
      </c>
      <c r="R111" s="13">
        <v>234</v>
      </c>
      <c r="S111" s="7" t="s">
        <v>39</v>
      </c>
      <c r="T111" s="7" t="s">
        <v>39</v>
      </c>
      <c r="U111" s="7" t="s">
        <v>39</v>
      </c>
      <c r="V111" s="7" t="s">
        <v>39</v>
      </c>
      <c r="W111" s="7" t="s">
        <v>39</v>
      </c>
      <c r="X111" s="7" t="s">
        <v>39</v>
      </c>
      <c r="Y111" s="14">
        <f t="shared" si="11"/>
        <v>1.83609204683084</v>
      </c>
      <c r="Z111" s="60">
        <f t="shared" si="12"/>
        <v>15.2941176470588</v>
      </c>
      <c r="AA111" s="60">
        <f t="shared" si="13"/>
        <v>891.764705882353</v>
      </c>
    </row>
    <row r="112" spans="1:27">
      <c r="A112" s="7" t="s">
        <v>153</v>
      </c>
      <c r="B112" s="7" t="s">
        <v>154</v>
      </c>
      <c r="C112" s="7" t="s">
        <v>155</v>
      </c>
      <c r="D112" s="7" t="s">
        <v>166</v>
      </c>
      <c r="E112" s="7" t="s">
        <v>37</v>
      </c>
      <c r="F112" s="7" t="s">
        <v>157</v>
      </c>
      <c r="G112" s="7"/>
      <c r="H112" s="7">
        <v>3.65</v>
      </c>
      <c r="I112" s="18">
        <v>0.9185</v>
      </c>
      <c r="J112" s="18">
        <v>0.2757</v>
      </c>
      <c r="K112" s="61">
        <v>268</v>
      </c>
      <c r="L112" s="7" t="s">
        <v>39</v>
      </c>
      <c r="M112" s="7" t="s">
        <v>39</v>
      </c>
      <c r="N112" s="13">
        <v>20.4</v>
      </c>
      <c r="O112" s="13">
        <v>18.4</v>
      </c>
      <c r="P112" s="13">
        <v>7.72</v>
      </c>
      <c r="Q112" s="13">
        <v>206</v>
      </c>
      <c r="R112" s="13">
        <v>105</v>
      </c>
      <c r="S112" s="7" t="s">
        <v>39</v>
      </c>
      <c r="T112" s="7" t="s">
        <v>39</v>
      </c>
      <c r="U112" s="7" t="s">
        <v>39</v>
      </c>
      <c r="V112" s="7" t="s">
        <v>39</v>
      </c>
      <c r="W112" s="7" t="s">
        <v>39</v>
      </c>
      <c r="X112" s="7" t="s">
        <v>39</v>
      </c>
      <c r="Y112" s="14">
        <f t="shared" si="11"/>
        <v>3.33151976786362</v>
      </c>
      <c r="Z112" s="60">
        <f t="shared" si="12"/>
        <v>5.70652173913044</v>
      </c>
      <c r="AA112" s="60">
        <f t="shared" si="13"/>
        <v>499.184782608696</v>
      </c>
    </row>
    <row r="113" spans="1:27">
      <c r="A113" s="7" t="s">
        <v>153</v>
      </c>
      <c r="B113" s="7" t="s">
        <v>154</v>
      </c>
      <c r="C113" s="7" t="s">
        <v>155</v>
      </c>
      <c r="D113" s="7" t="s">
        <v>167</v>
      </c>
      <c r="E113" s="7" t="s">
        <v>37</v>
      </c>
      <c r="F113" s="7" t="s">
        <v>157</v>
      </c>
      <c r="G113" s="7"/>
      <c r="H113" s="7">
        <v>1.8</v>
      </c>
      <c r="I113" s="18">
        <v>0.584</v>
      </c>
      <c r="J113" s="18">
        <v>0.1903</v>
      </c>
      <c r="K113" s="61">
        <v>205</v>
      </c>
      <c r="L113" s="7" t="s">
        <v>39</v>
      </c>
      <c r="M113" s="7" t="s">
        <v>39</v>
      </c>
      <c r="N113" s="13">
        <v>7</v>
      </c>
      <c r="O113" s="13">
        <v>5.81</v>
      </c>
      <c r="P113" s="13">
        <v>3.41</v>
      </c>
      <c r="Q113" s="13">
        <v>233</v>
      </c>
      <c r="R113" s="13">
        <v>55.3</v>
      </c>
      <c r="S113" s="7" t="s">
        <v>39</v>
      </c>
      <c r="T113" s="7" t="s">
        <v>39</v>
      </c>
      <c r="U113" s="7" t="s">
        <v>39</v>
      </c>
      <c r="V113" s="7" t="s">
        <v>39</v>
      </c>
      <c r="W113" s="7" t="s">
        <v>39</v>
      </c>
      <c r="X113" s="7" t="s">
        <v>39</v>
      </c>
      <c r="Y113" s="14">
        <f t="shared" si="11"/>
        <v>3.06883867577509</v>
      </c>
      <c r="Z113" s="60">
        <f t="shared" si="12"/>
        <v>9.51807228915663</v>
      </c>
      <c r="AA113" s="60">
        <f t="shared" si="13"/>
        <v>1005.16351118761</v>
      </c>
    </row>
    <row r="114" spans="1:27">
      <c r="A114" s="7" t="s">
        <v>153</v>
      </c>
      <c r="B114" s="7" t="s">
        <v>154</v>
      </c>
      <c r="C114" s="7" t="s">
        <v>155</v>
      </c>
      <c r="D114" s="7" t="s">
        <v>168</v>
      </c>
      <c r="E114" s="7" t="s">
        <v>37</v>
      </c>
      <c r="F114" s="7" t="s">
        <v>157</v>
      </c>
      <c r="G114" s="7"/>
      <c r="H114" s="7">
        <v>0.06</v>
      </c>
      <c r="I114" s="18">
        <v>0.1314</v>
      </c>
      <c r="J114" s="18">
        <v>0.0225</v>
      </c>
      <c r="K114" s="61">
        <v>115</v>
      </c>
      <c r="L114" s="7" t="s">
        <v>39</v>
      </c>
      <c r="M114" s="7" t="s">
        <v>39</v>
      </c>
      <c r="N114" s="13">
        <v>0.01</v>
      </c>
      <c r="O114" s="13">
        <v>0.03</v>
      </c>
      <c r="P114" s="13">
        <v>0.29</v>
      </c>
      <c r="Q114" s="13">
        <v>6.53</v>
      </c>
      <c r="R114" s="13">
        <v>11.4</v>
      </c>
      <c r="S114" s="7" t="s">
        <v>39</v>
      </c>
      <c r="T114" s="7" t="s">
        <v>39</v>
      </c>
      <c r="U114" s="7" t="s">
        <v>39</v>
      </c>
      <c r="V114" s="7" t="s">
        <v>39</v>
      </c>
      <c r="W114" s="7" t="s">
        <v>39</v>
      </c>
      <c r="X114" s="7" t="s">
        <v>39</v>
      </c>
      <c r="Y114" s="14">
        <f t="shared" si="11"/>
        <v>5.84</v>
      </c>
      <c r="Z114" s="60">
        <f t="shared" si="12"/>
        <v>380</v>
      </c>
      <c r="AA114" s="60">
        <f t="shared" si="13"/>
        <v>43800</v>
      </c>
    </row>
    <row r="115" spans="1:27">
      <c r="A115" s="7" t="s">
        <v>153</v>
      </c>
      <c r="B115" s="7" t="s">
        <v>154</v>
      </c>
      <c r="C115" s="7" t="s">
        <v>155</v>
      </c>
      <c r="D115" s="7" t="s">
        <v>169</v>
      </c>
      <c r="E115" s="7" t="s">
        <v>37</v>
      </c>
      <c r="F115" s="7" t="s">
        <v>157</v>
      </c>
      <c r="G115" s="7"/>
      <c r="H115" s="7">
        <v>1.89</v>
      </c>
      <c r="I115" s="7">
        <v>0.66</v>
      </c>
      <c r="J115" s="7">
        <v>0.42</v>
      </c>
      <c r="K115" s="7" t="s">
        <v>39</v>
      </c>
      <c r="L115" s="7" t="s">
        <v>39</v>
      </c>
      <c r="M115" s="7" t="s">
        <v>39</v>
      </c>
      <c r="N115" s="13">
        <v>14.4</v>
      </c>
      <c r="O115" s="13">
        <v>12.5</v>
      </c>
      <c r="P115" s="13">
        <v>5.09</v>
      </c>
      <c r="Q115" s="13">
        <v>94.9</v>
      </c>
      <c r="R115" s="13">
        <v>60.7</v>
      </c>
      <c r="S115" s="7" t="s">
        <v>39</v>
      </c>
      <c r="T115" s="7" t="s">
        <v>39</v>
      </c>
      <c r="U115" s="7" t="s">
        <v>39</v>
      </c>
      <c r="V115" s="7" t="s">
        <v>39</v>
      </c>
      <c r="W115" s="7" t="s">
        <v>39</v>
      </c>
      <c r="X115" s="7" t="s">
        <v>39</v>
      </c>
      <c r="Y115" s="14">
        <f t="shared" si="11"/>
        <v>1.57142857142857</v>
      </c>
      <c r="Z115" s="60">
        <f t="shared" si="12"/>
        <v>4.856</v>
      </c>
      <c r="AA115" s="60">
        <f t="shared" si="13"/>
        <v>528</v>
      </c>
    </row>
    <row r="116" spans="1:27">
      <c r="A116" s="7" t="s">
        <v>153</v>
      </c>
      <c r="B116" s="7" t="s">
        <v>154</v>
      </c>
      <c r="C116" s="7" t="s">
        <v>155</v>
      </c>
      <c r="D116" s="7" t="s">
        <v>170</v>
      </c>
      <c r="E116" s="7" t="s">
        <v>37</v>
      </c>
      <c r="F116" s="7" t="s">
        <v>157</v>
      </c>
      <c r="G116" s="7"/>
      <c r="H116" s="7">
        <v>1.84</v>
      </c>
      <c r="I116" s="7">
        <v>0.64</v>
      </c>
      <c r="J116" s="7">
        <v>0.27</v>
      </c>
      <c r="K116" s="7" t="s">
        <v>39</v>
      </c>
      <c r="L116" s="7" t="s">
        <v>39</v>
      </c>
      <c r="M116" s="7" t="s">
        <v>39</v>
      </c>
      <c r="N116" s="13">
        <v>16.1</v>
      </c>
      <c r="O116" s="13">
        <v>14.5</v>
      </c>
      <c r="P116" s="13">
        <v>6.08</v>
      </c>
      <c r="Q116" s="13">
        <v>221</v>
      </c>
      <c r="R116" s="13">
        <v>86.1</v>
      </c>
      <c r="S116" s="7" t="s">
        <v>39</v>
      </c>
      <c r="T116" s="7" t="s">
        <v>39</v>
      </c>
      <c r="U116" s="7" t="s">
        <v>39</v>
      </c>
      <c r="V116" s="7" t="s">
        <v>39</v>
      </c>
      <c r="W116" s="7" t="s">
        <v>39</v>
      </c>
      <c r="X116" s="7" t="s">
        <v>39</v>
      </c>
      <c r="Y116" s="14">
        <f t="shared" si="11"/>
        <v>2.37037037037037</v>
      </c>
      <c r="Z116" s="60">
        <f t="shared" si="12"/>
        <v>5.93793103448276</v>
      </c>
      <c r="AA116" s="60">
        <f t="shared" si="13"/>
        <v>441.379310344828</v>
      </c>
    </row>
    <row r="117" spans="1:27">
      <c r="A117" s="7" t="s">
        <v>153</v>
      </c>
      <c r="B117" s="7" t="s">
        <v>154</v>
      </c>
      <c r="C117" s="7" t="s">
        <v>155</v>
      </c>
      <c r="D117" s="7" t="s">
        <v>171</v>
      </c>
      <c r="E117" s="7" t="s">
        <v>37</v>
      </c>
      <c r="F117" s="7" t="s">
        <v>157</v>
      </c>
      <c r="G117" s="7"/>
      <c r="H117" s="7">
        <v>1.02</v>
      </c>
      <c r="I117" s="7">
        <v>0.28</v>
      </c>
      <c r="J117" s="7">
        <v>0.26</v>
      </c>
      <c r="K117" s="7" t="s">
        <v>39</v>
      </c>
      <c r="L117" s="7" t="s">
        <v>39</v>
      </c>
      <c r="M117" s="7" t="s">
        <v>39</v>
      </c>
      <c r="N117" s="13">
        <v>15.5</v>
      </c>
      <c r="O117" s="13">
        <v>12.7</v>
      </c>
      <c r="P117" s="13">
        <v>5.93</v>
      </c>
      <c r="Q117" s="13">
        <v>216</v>
      </c>
      <c r="R117" s="13">
        <v>89.1</v>
      </c>
      <c r="S117" s="7" t="s">
        <v>39</v>
      </c>
      <c r="T117" s="7" t="s">
        <v>39</v>
      </c>
      <c r="U117" s="7" t="s">
        <v>39</v>
      </c>
      <c r="V117" s="7" t="s">
        <v>39</v>
      </c>
      <c r="W117" s="7" t="s">
        <v>39</v>
      </c>
      <c r="X117" s="7" t="s">
        <v>39</v>
      </c>
      <c r="Y117" s="14">
        <f t="shared" si="11"/>
        <v>1.07692307692308</v>
      </c>
      <c r="Z117" s="60">
        <f t="shared" si="12"/>
        <v>7.01574803149606</v>
      </c>
      <c r="AA117" s="60">
        <f t="shared" si="13"/>
        <v>220.472440944882</v>
      </c>
    </row>
    <row r="118" spans="1:27">
      <c r="A118" s="7" t="s">
        <v>153</v>
      </c>
      <c r="B118" s="7" t="s">
        <v>154</v>
      </c>
      <c r="C118" s="7" t="s">
        <v>155</v>
      </c>
      <c r="D118" s="7" t="s">
        <v>172</v>
      </c>
      <c r="E118" s="7" t="s">
        <v>37</v>
      </c>
      <c r="F118" s="7" t="s">
        <v>157</v>
      </c>
      <c r="G118" s="7"/>
      <c r="H118" s="7">
        <v>1.99</v>
      </c>
      <c r="I118" s="7">
        <v>0.66</v>
      </c>
      <c r="J118" s="7">
        <v>0.29</v>
      </c>
      <c r="K118" s="7" t="s">
        <v>39</v>
      </c>
      <c r="L118" s="7" t="s">
        <v>39</v>
      </c>
      <c r="M118" s="7" t="s">
        <v>39</v>
      </c>
      <c r="N118" s="13">
        <v>10.9</v>
      </c>
      <c r="O118" s="13">
        <v>8.19</v>
      </c>
      <c r="P118" s="13">
        <v>4.29</v>
      </c>
      <c r="Q118" s="13">
        <v>105</v>
      </c>
      <c r="R118" s="13">
        <v>46.1</v>
      </c>
      <c r="S118" s="7" t="s">
        <v>39</v>
      </c>
      <c r="T118" s="7" t="s">
        <v>39</v>
      </c>
      <c r="U118" s="7" t="s">
        <v>39</v>
      </c>
      <c r="V118" s="7" t="s">
        <v>39</v>
      </c>
      <c r="W118" s="7" t="s">
        <v>39</v>
      </c>
      <c r="X118" s="7" t="s">
        <v>39</v>
      </c>
      <c r="Y118" s="14">
        <f t="shared" si="11"/>
        <v>2.27586206896552</v>
      </c>
      <c r="Z118" s="60">
        <f t="shared" si="12"/>
        <v>5.62881562881563</v>
      </c>
      <c r="AA118" s="60">
        <f t="shared" si="13"/>
        <v>805.860805860806</v>
      </c>
    </row>
    <row r="119" spans="1:27">
      <c r="A119" s="7" t="s">
        <v>153</v>
      </c>
      <c r="B119" s="7" t="s">
        <v>154</v>
      </c>
      <c r="C119" s="7" t="s">
        <v>155</v>
      </c>
      <c r="D119" s="7" t="s">
        <v>173</v>
      </c>
      <c r="E119" s="7" t="s">
        <v>37</v>
      </c>
      <c r="F119" s="7" t="s">
        <v>157</v>
      </c>
      <c r="G119" s="7"/>
      <c r="H119" s="7">
        <v>1.71</v>
      </c>
      <c r="I119" s="7">
        <v>0.5</v>
      </c>
      <c r="J119" s="7">
        <v>0.41</v>
      </c>
      <c r="K119" s="7" t="s">
        <v>39</v>
      </c>
      <c r="L119" s="7" t="s">
        <v>39</v>
      </c>
      <c r="M119" s="7" t="s">
        <v>39</v>
      </c>
      <c r="N119" s="13">
        <v>9.6</v>
      </c>
      <c r="O119" s="13">
        <v>7.66</v>
      </c>
      <c r="P119" s="13">
        <v>4.14</v>
      </c>
      <c r="Q119" s="13">
        <v>231</v>
      </c>
      <c r="R119" s="13">
        <v>91.6</v>
      </c>
      <c r="S119" s="7" t="s">
        <v>39</v>
      </c>
      <c r="T119" s="7" t="s">
        <v>39</v>
      </c>
      <c r="U119" s="7" t="s">
        <v>39</v>
      </c>
      <c r="V119" s="7" t="s">
        <v>39</v>
      </c>
      <c r="W119" s="7" t="s">
        <v>39</v>
      </c>
      <c r="X119" s="7" t="s">
        <v>39</v>
      </c>
      <c r="Y119" s="14">
        <f t="shared" si="11"/>
        <v>1.21951219512195</v>
      </c>
      <c r="Z119" s="60">
        <f t="shared" si="12"/>
        <v>11.9582245430809</v>
      </c>
      <c r="AA119" s="60">
        <f t="shared" si="13"/>
        <v>652.741514360313</v>
      </c>
    </row>
    <row r="120" spans="1:27">
      <c r="A120" s="7" t="s">
        <v>153</v>
      </c>
      <c r="B120" s="7" t="s">
        <v>154</v>
      </c>
      <c r="C120" s="7" t="s">
        <v>155</v>
      </c>
      <c r="D120" s="7" t="s">
        <v>174</v>
      </c>
      <c r="E120" s="7" t="s">
        <v>37</v>
      </c>
      <c r="F120" s="7" t="s">
        <v>157</v>
      </c>
      <c r="G120" s="7"/>
      <c r="H120" s="7">
        <v>2.51</v>
      </c>
      <c r="I120" s="7">
        <v>0.56</v>
      </c>
      <c r="J120" s="7">
        <v>0.84</v>
      </c>
      <c r="K120" s="7" t="s">
        <v>39</v>
      </c>
      <c r="L120" s="7" t="s">
        <v>39</v>
      </c>
      <c r="M120" s="7" t="s">
        <v>39</v>
      </c>
      <c r="N120" s="13">
        <v>17.7</v>
      </c>
      <c r="O120" s="13">
        <v>16</v>
      </c>
      <c r="P120" s="13">
        <v>6.37</v>
      </c>
      <c r="Q120" s="13">
        <v>403</v>
      </c>
      <c r="R120" s="13">
        <v>143</v>
      </c>
      <c r="S120" s="7" t="s">
        <v>39</v>
      </c>
      <c r="T120" s="7" t="s">
        <v>39</v>
      </c>
      <c r="U120" s="7" t="s">
        <v>39</v>
      </c>
      <c r="V120" s="7" t="s">
        <v>39</v>
      </c>
      <c r="W120" s="7" t="s">
        <v>39</v>
      </c>
      <c r="X120" s="7" t="s">
        <v>39</v>
      </c>
      <c r="Y120" s="14">
        <f t="shared" si="11"/>
        <v>0.666666666666667</v>
      </c>
      <c r="Z120" s="60">
        <f t="shared" si="12"/>
        <v>8.9375</v>
      </c>
      <c r="AA120" s="60">
        <f t="shared" si="13"/>
        <v>350</v>
      </c>
    </row>
    <row r="121" spans="1:27">
      <c r="A121" s="7" t="s">
        <v>153</v>
      </c>
      <c r="B121" s="7" t="s">
        <v>154</v>
      </c>
      <c r="C121" s="7" t="s">
        <v>155</v>
      </c>
      <c r="D121" s="7" t="s">
        <v>175</v>
      </c>
      <c r="E121" s="7" t="s">
        <v>37</v>
      </c>
      <c r="F121" s="7" t="s">
        <v>157</v>
      </c>
      <c r="G121" s="7"/>
      <c r="H121" s="7">
        <v>2.51</v>
      </c>
      <c r="I121" s="7">
        <v>0.56</v>
      </c>
      <c r="J121" s="7">
        <v>0.84</v>
      </c>
      <c r="K121" s="7" t="s">
        <v>39</v>
      </c>
      <c r="L121" s="7" t="s">
        <v>39</v>
      </c>
      <c r="M121" s="7" t="s">
        <v>39</v>
      </c>
      <c r="N121" s="13">
        <v>18.7</v>
      </c>
      <c r="O121" s="13">
        <v>16.5</v>
      </c>
      <c r="P121" s="13">
        <v>6.36</v>
      </c>
      <c r="Q121" s="13">
        <v>398</v>
      </c>
      <c r="R121" s="13">
        <v>144</v>
      </c>
      <c r="S121" s="7" t="s">
        <v>39</v>
      </c>
      <c r="T121" s="7" t="s">
        <v>39</v>
      </c>
      <c r="U121" s="7" t="s">
        <v>39</v>
      </c>
      <c r="V121" s="7" t="s">
        <v>39</v>
      </c>
      <c r="W121" s="7" t="s">
        <v>39</v>
      </c>
      <c r="X121" s="7" t="s">
        <v>39</v>
      </c>
      <c r="Y121" s="14">
        <f t="shared" si="11"/>
        <v>0.666666666666667</v>
      </c>
      <c r="Z121" s="60">
        <f t="shared" si="12"/>
        <v>8.72727272727273</v>
      </c>
      <c r="AA121" s="60">
        <f t="shared" si="13"/>
        <v>339.393939393939</v>
      </c>
    </row>
    <row r="122" spans="1:27">
      <c r="A122" s="7" t="s">
        <v>153</v>
      </c>
      <c r="B122" s="7" t="s">
        <v>154</v>
      </c>
      <c r="C122" s="7" t="s">
        <v>155</v>
      </c>
      <c r="D122" s="7" t="s">
        <v>176</v>
      </c>
      <c r="E122" s="7" t="s">
        <v>37</v>
      </c>
      <c r="F122" s="7" t="s">
        <v>157</v>
      </c>
      <c r="G122" s="7"/>
      <c r="H122" s="7">
        <v>2.55</v>
      </c>
      <c r="I122" s="7">
        <v>0.78</v>
      </c>
      <c r="J122" s="7">
        <v>1.01</v>
      </c>
      <c r="K122" s="7" t="s">
        <v>39</v>
      </c>
      <c r="L122" s="7" t="s">
        <v>39</v>
      </c>
      <c r="M122" s="7" t="s">
        <v>39</v>
      </c>
      <c r="N122" s="13">
        <v>10.6</v>
      </c>
      <c r="O122" s="13">
        <v>12.7</v>
      </c>
      <c r="P122" s="13">
        <v>5.04</v>
      </c>
      <c r="Q122" s="13">
        <v>765</v>
      </c>
      <c r="R122" s="13">
        <v>258</v>
      </c>
      <c r="S122" s="7" t="s">
        <v>39</v>
      </c>
      <c r="T122" s="7" t="s">
        <v>39</v>
      </c>
      <c r="U122" s="7" t="s">
        <v>39</v>
      </c>
      <c r="V122" s="7" t="s">
        <v>39</v>
      </c>
      <c r="W122" s="7" t="s">
        <v>39</v>
      </c>
      <c r="X122" s="7" t="s">
        <v>39</v>
      </c>
      <c r="Y122" s="14">
        <f t="shared" si="11"/>
        <v>0.772277227722772</v>
      </c>
      <c r="Z122" s="60">
        <f t="shared" si="12"/>
        <v>20.3149606299213</v>
      </c>
      <c r="AA122" s="60">
        <f t="shared" si="13"/>
        <v>614.173228346457</v>
      </c>
    </row>
    <row r="123" spans="1:27">
      <c r="A123" s="7" t="s">
        <v>153</v>
      </c>
      <c r="B123" s="7" t="s">
        <v>154</v>
      </c>
      <c r="C123" s="7" t="s">
        <v>155</v>
      </c>
      <c r="D123" s="7" t="s">
        <v>177</v>
      </c>
      <c r="E123" s="7" t="s">
        <v>37</v>
      </c>
      <c r="F123" s="7" t="s">
        <v>157</v>
      </c>
      <c r="G123" s="7"/>
      <c r="H123" s="7">
        <v>2.44</v>
      </c>
      <c r="I123" s="7">
        <v>0.84</v>
      </c>
      <c r="J123" s="7">
        <v>0.5</v>
      </c>
      <c r="K123" s="7" t="s">
        <v>39</v>
      </c>
      <c r="L123" s="7" t="s">
        <v>39</v>
      </c>
      <c r="M123" s="7" t="s">
        <v>39</v>
      </c>
      <c r="N123" s="13">
        <v>22.7</v>
      </c>
      <c r="O123" s="13">
        <v>21.4</v>
      </c>
      <c r="P123" s="13">
        <v>8.59</v>
      </c>
      <c r="Q123" s="13">
        <v>443</v>
      </c>
      <c r="R123" s="13">
        <v>172</v>
      </c>
      <c r="S123" s="7" t="s">
        <v>39</v>
      </c>
      <c r="T123" s="7" t="s">
        <v>39</v>
      </c>
      <c r="U123" s="7" t="s">
        <v>39</v>
      </c>
      <c r="V123" s="7" t="s">
        <v>39</v>
      </c>
      <c r="W123" s="7" t="s">
        <v>39</v>
      </c>
      <c r="X123" s="7" t="s">
        <v>39</v>
      </c>
      <c r="Y123" s="14">
        <f t="shared" si="11"/>
        <v>1.68</v>
      </c>
      <c r="Z123" s="60">
        <f t="shared" si="12"/>
        <v>8.03738317757009</v>
      </c>
      <c r="AA123" s="60">
        <f t="shared" si="13"/>
        <v>392.523364485981</v>
      </c>
    </row>
    <row r="124" spans="1:27">
      <c r="A124" s="7" t="s">
        <v>153</v>
      </c>
      <c r="B124" s="7" t="s">
        <v>154</v>
      </c>
      <c r="C124" s="7" t="s">
        <v>155</v>
      </c>
      <c r="D124" s="7" t="s">
        <v>178</v>
      </c>
      <c r="E124" s="7" t="s">
        <v>37</v>
      </c>
      <c r="F124" s="7" t="s">
        <v>157</v>
      </c>
      <c r="G124" s="7"/>
      <c r="H124" s="7">
        <v>3.72</v>
      </c>
      <c r="I124" s="7">
        <v>1.05</v>
      </c>
      <c r="J124" s="7">
        <v>1.46</v>
      </c>
      <c r="K124" s="7" t="s">
        <v>39</v>
      </c>
      <c r="L124" s="7" t="s">
        <v>39</v>
      </c>
      <c r="M124" s="7" t="s">
        <v>39</v>
      </c>
      <c r="N124" s="13">
        <v>15</v>
      </c>
      <c r="O124" s="13">
        <v>11.8</v>
      </c>
      <c r="P124" s="13">
        <v>6.55</v>
      </c>
      <c r="Q124" s="13">
        <v>419</v>
      </c>
      <c r="R124" s="13">
        <v>265</v>
      </c>
      <c r="S124" s="7" t="s">
        <v>39</v>
      </c>
      <c r="T124" s="7" t="s">
        <v>39</v>
      </c>
      <c r="U124" s="7" t="s">
        <v>39</v>
      </c>
      <c r="V124" s="7" t="s">
        <v>39</v>
      </c>
      <c r="W124" s="7" t="s">
        <v>39</v>
      </c>
      <c r="X124" s="7" t="s">
        <v>39</v>
      </c>
      <c r="Y124" s="14">
        <f t="shared" si="11"/>
        <v>0.719178082191781</v>
      </c>
      <c r="Z124" s="60">
        <f t="shared" si="12"/>
        <v>22.4576271186441</v>
      </c>
      <c r="AA124" s="60">
        <f t="shared" si="13"/>
        <v>889.830508474576</v>
      </c>
    </row>
    <row r="125" spans="1:27">
      <c r="A125" s="7" t="s">
        <v>153</v>
      </c>
      <c r="B125" s="7" t="s">
        <v>154</v>
      </c>
      <c r="C125" s="7" t="s">
        <v>155</v>
      </c>
      <c r="D125" s="7" t="s">
        <v>179</v>
      </c>
      <c r="E125" s="7" t="s">
        <v>37</v>
      </c>
      <c r="F125" s="7" t="s">
        <v>157</v>
      </c>
      <c r="G125" s="7"/>
      <c r="H125" s="7">
        <v>2.35</v>
      </c>
      <c r="I125" s="7">
        <v>0.61</v>
      </c>
      <c r="J125" s="7">
        <v>0.68</v>
      </c>
      <c r="K125" s="7" t="s">
        <v>39</v>
      </c>
      <c r="L125" s="7" t="s">
        <v>39</v>
      </c>
      <c r="M125" s="7" t="s">
        <v>39</v>
      </c>
      <c r="N125" s="13">
        <v>18.3</v>
      </c>
      <c r="O125" s="13">
        <v>14.4</v>
      </c>
      <c r="P125" s="13">
        <v>5.62</v>
      </c>
      <c r="Q125" s="13">
        <v>329</v>
      </c>
      <c r="R125" s="13">
        <v>95.7</v>
      </c>
      <c r="S125" s="7" t="s">
        <v>39</v>
      </c>
      <c r="T125" s="7" t="s">
        <v>39</v>
      </c>
      <c r="U125" s="7" t="s">
        <v>39</v>
      </c>
      <c r="V125" s="7" t="s">
        <v>39</v>
      </c>
      <c r="W125" s="7" t="s">
        <v>39</v>
      </c>
      <c r="X125" s="7" t="s">
        <v>39</v>
      </c>
      <c r="Y125" s="14">
        <f t="shared" si="11"/>
        <v>0.897058823529412</v>
      </c>
      <c r="Z125" s="60">
        <f t="shared" si="12"/>
        <v>6.64583333333333</v>
      </c>
      <c r="AA125" s="60">
        <f t="shared" si="13"/>
        <v>423.611111111111</v>
      </c>
    </row>
    <row r="126" spans="1:27">
      <c r="A126" s="7" t="s">
        <v>153</v>
      </c>
      <c r="B126" s="7" t="s">
        <v>154</v>
      </c>
      <c r="C126" s="7" t="s">
        <v>155</v>
      </c>
      <c r="D126" s="7" t="s">
        <v>180</v>
      </c>
      <c r="E126" s="7" t="s">
        <v>37</v>
      </c>
      <c r="F126" s="7" t="s">
        <v>157</v>
      </c>
      <c r="G126" s="7"/>
      <c r="H126" s="7">
        <v>3.27</v>
      </c>
      <c r="I126" s="7">
        <v>0.49</v>
      </c>
      <c r="J126" s="7">
        <v>0.9</v>
      </c>
      <c r="K126" s="7" t="s">
        <v>39</v>
      </c>
      <c r="L126" s="7" t="s">
        <v>39</v>
      </c>
      <c r="M126" s="7" t="s">
        <v>39</v>
      </c>
      <c r="N126" s="13">
        <v>14.8</v>
      </c>
      <c r="O126" s="13">
        <v>12.3</v>
      </c>
      <c r="P126" s="13">
        <v>5.38</v>
      </c>
      <c r="Q126" s="13">
        <v>143</v>
      </c>
      <c r="R126" s="13">
        <v>37.7</v>
      </c>
      <c r="S126" s="7" t="s">
        <v>39</v>
      </c>
      <c r="T126" s="7" t="s">
        <v>39</v>
      </c>
      <c r="U126" s="7" t="s">
        <v>39</v>
      </c>
      <c r="V126" s="7" t="s">
        <v>39</v>
      </c>
      <c r="W126" s="7" t="s">
        <v>39</v>
      </c>
      <c r="X126" s="7" t="s">
        <v>39</v>
      </c>
      <c r="Y126" s="14">
        <f t="shared" si="11"/>
        <v>0.544444444444444</v>
      </c>
      <c r="Z126" s="60">
        <f t="shared" si="12"/>
        <v>3.0650406504065</v>
      </c>
      <c r="AA126" s="60">
        <f t="shared" si="13"/>
        <v>398.373983739837</v>
      </c>
    </row>
    <row r="127" spans="1:27">
      <c r="A127" s="7" t="s">
        <v>153</v>
      </c>
      <c r="B127" s="7" t="s">
        <v>154</v>
      </c>
      <c r="C127" s="7" t="s">
        <v>155</v>
      </c>
      <c r="D127" s="7" t="s">
        <v>181</v>
      </c>
      <c r="E127" s="7" t="s">
        <v>37</v>
      </c>
      <c r="F127" s="7" t="s">
        <v>157</v>
      </c>
      <c r="G127" s="7"/>
      <c r="H127" s="7">
        <v>2.51</v>
      </c>
      <c r="I127" s="7">
        <v>0.68</v>
      </c>
      <c r="J127" s="7">
        <v>0.21</v>
      </c>
      <c r="K127" s="7" t="s">
        <v>39</v>
      </c>
      <c r="L127" s="7" t="s">
        <v>39</v>
      </c>
      <c r="M127" s="7" t="s">
        <v>39</v>
      </c>
      <c r="N127" s="13">
        <v>9.6</v>
      </c>
      <c r="O127" s="13">
        <v>7.2</v>
      </c>
      <c r="P127" s="13">
        <v>3.04</v>
      </c>
      <c r="Q127" s="13">
        <v>249</v>
      </c>
      <c r="R127" s="13">
        <v>75.9</v>
      </c>
      <c r="S127" s="7" t="s">
        <v>39</v>
      </c>
      <c r="T127" s="7" t="s">
        <v>39</v>
      </c>
      <c r="U127" s="7" t="s">
        <v>39</v>
      </c>
      <c r="V127" s="7" t="s">
        <v>39</v>
      </c>
      <c r="W127" s="7" t="s">
        <v>39</v>
      </c>
      <c r="X127" s="7" t="s">
        <v>39</v>
      </c>
      <c r="Y127" s="14">
        <f t="shared" si="11"/>
        <v>3.23809523809524</v>
      </c>
      <c r="Z127" s="60">
        <f t="shared" si="12"/>
        <v>10.5416666666667</v>
      </c>
      <c r="AA127" s="60">
        <f t="shared" si="13"/>
        <v>944.444444444445</v>
      </c>
    </row>
    <row r="128" spans="1:27">
      <c r="A128" s="7" t="s">
        <v>153</v>
      </c>
      <c r="B128" s="7" t="s">
        <v>154</v>
      </c>
      <c r="C128" s="7" t="s">
        <v>155</v>
      </c>
      <c r="D128" s="7" t="s">
        <v>182</v>
      </c>
      <c r="E128" s="7" t="s">
        <v>37</v>
      </c>
      <c r="F128" s="7" t="s">
        <v>157</v>
      </c>
      <c r="G128" s="7"/>
      <c r="H128" s="7">
        <v>2.18</v>
      </c>
      <c r="I128" s="7">
        <v>0.5</v>
      </c>
      <c r="J128" s="7">
        <v>0.83</v>
      </c>
      <c r="K128" s="7" t="s">
        <v>39</v>
      </c>
      <c r="L128" s="7" t="s">
        <v>39</v>
      </c>
      <c r="M128" s="7" t="s">
        <v>39</v>
      </c>
      <c r="N128" s="13">
        <v>8.58</v>
      </c>
      <c r="O128" s="13">
        <v>5.97</v>
      </c>
      <c r="P128" s="13">
        <v>3.36</v>
      </c>
      <c r="Q128" s="13">
        <v>329</v>
      </c>
      <c r="R128" s="13">
        <v>96.9</v>
      </c>
      <c r="S128" s="7" t="s">
        <v>39</v>
      </c>
      <c r="T128" s="7" t="s">
        <v>39</v>
      </c>
      <c r="U128" s="7" t="s">
        <v>39</v>
      </c>
      <c r="V128" s="7" t="s">
        <v>39</v>
      </c>
      <c r="W128" s="7" t="s">
        <v>39</v>
      </c>
      <c r="X128" s="7" t="s">
        <v>39</v>
      </c>
      <c r="Y128" s="14">
        <f t="shared" si="11"/>
        <v>0.602409638554217</v>
      </c>
      <c r="Z128" s="60">
        <f t="shared" si="12"/>
        <v>16.2311557788945</v>
      </c>
      <c r="AA128" s="60">
        <f t="shared" si="13"/>
        <v>837.520938023451</v>
      </c>
    </row>
    <row r="129" spans="1:27">
      <c r="A129" s="7" t="s">
        <v>153</v>
      </c>
      <c r="B129" s="7" t="s">
        <v>154</v>
      </c>
      <c r="C129" s="7" t="s">
        <v>155</v>
      </c>
      <c r="D129" s="7" t="s">
        <v>183</v>
      </c>
      <c r="E129" s="7" t="s">
        <v>37</v>
      </c>
      <c r="F129" s="7" t="s">
        <v>157</v>
      </c>
      <c r="G129" s="7"/>
      <c r="H129" s="7">
        <v>3.08</v>
      </c>
      <c r="I129" s="7">
        <v>0.86</v>
      </c>
      <c r="J129" s="7">
        <v>0.56</v>
      </c>
      <c r="K129" s="7" t="s">
        <v>39</v>
      </c>
      <c r="L129" s="7" t="s">
        <v>39</v>
      </c>
      <c r="M129" s="7" t="s">
        <v>39</v>
      </c>
      <c r="N129" s="13">
        <v>15</v>
      </c>
      <c r="O129" s="13">
        <v>12.6</v>
      </c>
      <c r="P129" s="13">
        <v>6.2</v>
      </c>
      <c r="Q129" s="13">
        <v>262</v>
      </c>
      <c r="R129" s="13">
        <v>155</v>
      </c>
      <c r="S129" s="7" t="s">
        <v>39</v>
      </c>
      <c r="T129" s="7" t="s">
        <v>39</v>
      </c>
      <c r="U129" s="7" t="s">
        <v>39</v>
      </c>
      <c r="V129" s="7" t="s">
        <v>39</v>
      </c>
      <c r="W129" s="7" t="s">
        <v>39</v>
      </c>
      <c r="X129" s="7" t="s">
        <v>39</v>
      </c>
      <c r="Y129" s="14">
        <f t="shared" si="11"/>
        <v>1.53571428571429</v>
      </c>
      <c r="Z129" s="60">
        <f t="shared" si="12"/>
        <v>12.3015873015873</v>
      </c>
      <c r="AA129" s="60">
        <f t="shared" si="13"/>
        <v>682.539682539683</v>
      </c>
    </row>
    <row r="130" spans="1:27">
      <c r="A130" s="7" t="s">
        <v>153</v>
      </c>
      <c r="B130" s="7" t="s">
        <v>154</v>
      </c>
      <c r="C130" s="7" t="s">
        <v>155</v>
      </c>
      <c r="D130" s="7" t="s">
        <v>184</v>
      </c>
      <c r="E130" s="7" t="s">
        <v>37</v>
      </c>
      <c r="F130" s="7" t="s">
        <v>157</v>
      </c>
      <c r="G130" s="7"/>
      <c r="H130" s="7">
        <v>1.53</v>
      </c>
      <c r="I130" s="7">
        <v>0.39</v>
      </c>
      <c r="J130" s="7">
        <v>0.29</v>
      </c>
      <c r="K130" s="7" t="s">
        <v>39</v>
      </c>
      <c r="L130" s="7" t="s">
        <v>39</v>
      </c>
      <c r="M130" s="7" t="s">
        <v>39</v>
      </c>
      <c r="N130" s="13">
        <v>5.09</v>
      </c>
      <c r="O130" s="13">
        <v>4.2</v>
      </c>
      <c r="P130" s="13">
        <v>2.5</v>
      </c>
      <c r="Q130" s="13">
        <v>141</v>
      </c>
      <c r="R130" s="13">
        <v>87.7</v>
      </c>
      <c r="S130" s="7" t="s">
        <v>185</v>
      </c>
      <c r="T130" s="7" t="s">
        <v>39</v>
      </c>
      <c r="U130" s="7" t="s">
        <v>39</v>
      </c>
      <c r="V130" s="7" t="s">
        <v>39</v>
      </c>
      <c r="W130" s="7" t="s">
        <v>185</v>
      </c>
      <c r="X130" s="7" t="s">
        <v>185</v>
      </c>
      <c r="Y130" s="14">
        <f t="shared" si="11"/>
        <v>1.3448275862069</v>
      </c>
      <c r="Z130" s="60">
        <f t="shared" si="12"/>
        <v>20.8809523809524</v>
      </c>
      <c r="AA130" s="60">
        <f t="shared" si="13"/>
        <v>928.571428571429</v>
      </c>
    </row>
    <row r="131" spans="1:27">
      <c r="A131" s="7" t="s">
        <v>153</v>
      </c>
      <c r="B131" s="7" t="s">
        <v>154</v>
      </c>
      <c r="C131" s="7" t="s">
        <v>155</v>
      </c>
      <c r="D131" s="7" t="s">
        <v>186</v>
      </c>
      <c r="E131" s="7" t="s">
        <v>37</v>
      </c>
      <c r="F131" s="7" t="s">
        <v>157</v>
      </c>
      <c r="G131" s="7"/>
      <c r="H131" s="7">
        <v>3.64</v>
      </c>
      <c r="I131" s="7">
        <v>1.26</v>
      </c>
      <c r="J131" s="7">
        <v>0.3</v>
      </c>
      <c r="K131" s="7" t="s">
        <v>39</v>
      </c>
      <c r="L131" s="7" t="s">
        <v>39</v>
      </c>
      <c r="M131" s="7" t="s">
        <v>39</v>
      </c>
      <c r="N131" s="13">
        <v>27.5</v>
      </c>
      <c r="O131" s="13">
        <v>16.6</v>
      </c>
      <c r="P131" s="13">
        <v>7.36</v>
      </c>
      <c r="Q131" s="13">
        <v>35.8</v>
      </c>
      <c r="R131" s="13">
        <v>121.9</v>
      </c>
      <c r="S131" s="7" t="s">
        <v>185</v>
      </c>
      <c r="T131" s="7" t="s">
        <v>39</v>
      </c>
      <c r="U131" s="7" t="s">
        <v>39</v>
      </c>
      <c r="V131" s="7" t="s">
        <v>39</v>
      </c>
      <c r="W131" s="7" t="s">
        <v>185</v>
      </c>
      <c r="X131" s="7" t="s">
        <v>185</v>
      </c>
      <c r="Y131" s="14">
        <f t="shared" si="11"/>
        <v>4.2</v>
      </c>
      <c r="Z131" s="60">
        <f t="shared" si="12"/>
        <v>7.3433734939759</v>
      </c>
      <c r="AA131" s="60">
        <f t="shared" si="13"/>
        <v>759.036144578313</v>
      </c>
    </row>
    <row r="132" spans="1:27">
      <c r="A132" s="7" t="s">
        <v>153</v>
      </c>
      <c r="B132" s="7" t="s">
        <v>154</v>
      </c>
      <c r="C132" s="7" t="s">
        <v>155</v>
      </c>
      <c r="D132" s="7" t="s">
        <v>187</v>
      </c>
      <c r="E132" s="7" t="s">
        <v>37</v>
      </c>
      <c r="F132" s="7" t="s">
        <v>157</v>
      </c>
      <c r="G132" s="7"/>
      <c r="H132" s="7">
        <v>2.87</v>
      </c>
      <c r="I132" s="7">
        <v>0.72</v>
      </c>
      <c r="J132" s="7">
        <v>0.58</v>
      </c>
      <c r="K132" s="7" t="s">
        <v>39</v>
      </c>
      <c r="L132" s="7" t="s">
        <v>39</v>
      </c>
      <c r="M132" s="7" t="s">
        <v>39</v>
      </c>
      <c r="N132" s="13">
        <v>28.4</v>
      </c>
      <c r="O132" s="13">
        <v>21.5</v>
      </c>
      <c r="P132" s="13">
        <v>7.53</v>
      </c>
      <c r="Q132" s="13">
        <v>200</v>
      </c>
      <c r="R132" s="13">
        <v>74.8</v>
      </c>
      <c r="S132" s="7" t="s">
        <v>185</v>
      </c>
      <c r="T132" s="7" t="s">
        <v>39</v>
      </c>
      <c r="U132" s="7" t="s">
        <v>39</v>
      </c>
      <c r="V132" s="7" t="s">
        <v>39</v>
      </c>
      <c r="W132" s="7" t="s">
        <v>185</v>
      </c>
      <c r="X132" s="7" t="s">
        <v>185</v>
      </c>
      <c r="Y132" s="14">
        <f t="shared" si="11"/>
        <v>1.24137931034483</v>
      </c>
      <c r="Z132" s="60">
        <f t="shared" si="12"/>
        <v>3.47906976744186</v>
      </c>
      <c r="AA132" s="60">
        <f t="shared" si="13"/>
        <v>334.883720930233</v>
      </c>
    </row>
    <row r="133" spans="1:27">
      <c r="A133" s="7" t="s">
        <v>153</v>
      </c>
      <c r="B133" s="7" t="s">
        <v>154</v>
      </c>
      <c r="C133" s="7" t="s">
        <v>155</v>
      </c>
      <c r="D133" s="7" t="s">
        <v>188</v>
      </c>
      <c r="E133" s="7" t="s">
        <v>37</v>
      </c>
      <c r="F133" s="7" t="s">
        <v>157</v>
      </c>
      <c r="G133" s="7"/>
      <c r="H133" s="7">
        <v>3.6</v>
      </c>
      <c r="I133" s="7">
        <v>1</v>
      </c>
      <c r="J133" s="7">
        <v>0.75</v>
      </c>
      <c r="K133" s="7" t="s">
        <v>39</v>
      </c>
      <c r="L133" s="7" t="s">
        <v>39</v>
      </c>
      <c r="M133" s="7" t="s">
        <v>39</v>
      </c>
      <c r="N133" s="13">
        <v>26.1</v>
      </c>
      <c r="O133" s="13">
        <v>18.4</v>
      </c>
      <c r="P133" s="13">
        <v>11.1</v>
      </c>
      <c r="Q133" s="13">
        <v>676</v>
      </c>
      <c r="R133" s="13">
        <v>136</v>
      </c>
      <c r="S133" s="7" t="s">
        <v>185</v>
      </c>
      <c r="T133" s="7" t="s">
        <v>39</v>
      </c>
      <c r="U133" s="7" t="s">
        <v>39</v>
      </c>
      <c r="V133" s="7" t="s">
        <v>39</v>
      </c>
      <c r="W133" s="7" t="s">
        <v>185</v>
      </c>
      <c r="X133" s="7" t="s">
        <v>185</v>
      </c>
      <c r="Y133" s="14">
        <f t="shared" si="11"/>
        <v>1.33333333333333</v>
      </c>
      <c r="Z133" s="60">
        <f t="shared" si="12"/>
        <v>7.39130434782609</v>
      </c>
      <c r="AA133" s="60">
        <f t="shared" si="13"/>
        <v>543.478260869565</v>
      </c>
    </row>
    <row r="134" s="46" customFormat="1" spans="1:27">
      <c r="A134" s="64" t="s">
        <v>153</v>
      </c>
      <c r="B134" s="64" t="s">
        <v>154</v>
      </c>
      <c r="C134" s="64" t="s">
        <v>155</v>
      </c>
      <c r="D134" s="64" t="s">
        <v>189</v>
      </c>
      <c r="E134" s="64" t="s">
        <v>37</v>
      </c>
      <c r="F134" s="64" t="s">
        <v>157</v>
      </c>
      <c r="G134" s="64"/>
      <c r="H134" s="64">
        <v>2.18</v>
      </c>
      <c r="I134" s="64">
        <v>0.64</v>
      </c>
      <c r="J134" s="64">
        <v>0.66</v>
      </c>
      <c r="K134" s="64" t="s">
        <v>39</v>
      </c>
      <c r="L134" s="64" t="s">
        <v>39</v>
      </c>
      <c r="M134" s="64" t="s">
        <v>39</v>
      </c>
      <c r="N134" s="19">
        <v>25.4</v>
      </c>
      <c r="O134" s="19">
        <v>18.4</v>
      </c>
      <c r="P134" s="19">
        <v>9.22</v>
      </c>
      <c r="Q134" s="19">
        <v>151</v>
      </c>
      <c r="R134" s="19">
        <v>118</v>
      </c>
      <c r="S134" s="64">
        <v>3.7</v>
      </c>
      <c r="T134" s="64">
        <v>13</v>
      </c>
      <c r="U134" s="64" t="s">
        <v>39</v>
      </c>
      <c r="V134" s="64">
        <v>0.05</v>
      </c>
      <c r="W134" s="64">
        <v>2.27</v>
      </c>
      <c r="X134" s="64">
        <v>0.88</v>
      </c>
      <c r="Y134" s="15">
        <f t="shared" si="11"/>
        <v>0.96969696969697</v>
      </c>
      <c r="Z134" s="79">
        <f t="shared" si="12"/>
        <v>6.41304347826087</v>
      </c>
      <c r="AA134" s="79">
        <f t="shared" si="13"/>
        <v>347.826086956522</v>
      </c>
    </row>
    <row r="135" s="46" customFormat="1" spans="1:27">
      <c r="A135" s="64" t="s">
        <v>153</v>
      </c>
      <c r="B135" s="64" t="s">
        <v>154</v>
      </c>
      <c r="C135" s="64" t="s">
        <v>155</v>
      </c>
      <c r="D135" s="64" t="s">
        <v>190</v>
      </c>
      <c r="E135" s="64" t="s">
        <v>37</v>
      </c>
      <c r="F135" s="64" t="s">
        <v>157</v>
      </c>
      <c r="G135" s="64"/>
      <c r="H135" s="64">
        <v>5.15</v>
      </c>
      <c r="I135" s="64">
        <v>0.71</v>
      </c>
      <c r="J135" s="64">
        <v>1.44</v>
      </c>
      <c r="K135" s="64" t="s">
        <v>39</v>
      </c>
      <c r="L135" s="64" t="s">
        <v>39</v>
      </c>
      <c r="M135" s="64" t="s">
        <v>39</v>
      </c>
      <c r="N135" s="19">
        <v>19.5</v>
      </c>
      <c r="O135" s="19">
        <v>38.3</v>
      </c>
      <c r="P135" s="19">
        <v>16</v>
      </c>
      <c r="Q135" s="19">
        <v>748</v>
      </c>
      <c r="R135" s="19">
        <v>174</v>
      </c>
      <c r="S135" s="64">
        <v>2</v>
      </c>
      <c r="T135" s="64">
        <v>10</v>
      </c>
      <c r="U135" s="64" t="s">
        <v>39</v>
      </c>
      <c r="V135" s="64">
        <v>0.5</v>
      </c>
      <c r="W135" s="64">
        <v>3</v>
      </c>
      <c r="X135" s="64">
        <v>0.7</v>
      </c>
      <c r="Y135" s="15">
        <f t="shared" si="11"/>
        <v>0.493055555555556</v>
      </c>
      <c r="Z135" s="79">
        <f t="shared" si="12"/>
        <v>4.54308093994778</v>
      </c>
      <c r="AA135" s="79">
        <f t="shared" si="13"/>
        <v>185.378590078329</v>
      </c>
    </row>
    <row r="136" spans="1:27">
      <c r="A136" s="7" t="s">
        <v>153</v>
      </c>
      <c r="B136" s="7" t="s">
        <v>154</v>
      </c>
      <c r="C136" s="7" t="s">
        <v>155</v>
      </c>
      <c r="D136" s="7" t="s">
        <v>191</v>
      </c>
      <c r="E136" s="7" t="s">
        <v>37</v>
      </c>
      <c r="F136" s="7" t="s">
        <v>157</v>
      </c>
      <c r="G136" s="7"/>
      <c r="H136" s="7">
        <v>2.48</v>
      </c>
      <c r="I136" s="7">
        <v>0.58</v>
      </c>
      <c r="J136" s="7">
        <v>1</v>
      </c>
      <c r="K136" s="7" t="s">
        <v>39</v>
      </c>
      <c r="L136" s="7" t="s">
        <v>39</v>
      </c>
      <c r="M136" s="7" t="s">
        <v>39</v>
      </c>
      <c r="N136" s="13">
        <v>38.5</v>
      </c>
      <c r="O136" s="13">
        <v>33.1</v>
      </c>
      <c r="P136" s="13">
        <v>19.5</v>
      </c>
      <c r="Q136" s="13">
        <v>490</v>
      </c>
      <c r="R136" s="13">
        <v>198</v>
      </c>
      <c r="S136" s="7" t="s">
        <v>185</v>
      </c>
      <c r="T136" s="7" t="s">
        <v>39</v>
      </c>
      <c r="U136" s="7" t="s">
        <v>39</v>
      </c>
      <c r="V136" s="7" t="s">
        <v>39</v>
      </c>
      <c r="W136" s="7" t="s">
        <v>185</v>
      </c>
      <c r="X136" s="7" t="s">
        <v>185</v>
      </c>
      <c r="Y136" s="14">
        <f t="shared" si="11"/>
        <v>0.58</v>
      </c>
      <c r="Z136" s="60">
        <f t="shared" si="12"/>
        <v>5.98187311178248</v>
      </c>
      <c r="AA136" s="60">
        <f t="shared" si="13"/>
        <v>175.226586102719</v>
      </c>
    </row>
    <row r="137" spans="1:27">
      <c r="A137" s="7" t="s">
        <v>153</v>
      </c>
      <c r="B137" s="7" t="s">
        <v>154</v>
      </c>
      <c r="C137" s="7" t="s">
        <v>155</v>
      </c>
      <c r="D137" s="7" t="s">
        <v>192</v>
      </c>
      <c r="E137" s="7" t="s">
        <v>37</v>
      </c>
      <c r="F137" s="7" t="s">
        <v>157</v>
      </c>
      <c r="G137" s="7"/>
      <c r="H137" s="7">
        <v>3.15</v>
      </c>
      <c r="I137" s="7">
        <v>0.88</v>
      </c>
      <c r="J137" s="7">
        <v>0.39</v>
      </c>
      <c r="K137" s="7" t="s">
        <v>39</v>
      </c>
      <c r="L137" s="7" t="s">
        <v>39</v>
      </c>
      <c r="M137" s="7" t="s">
        <v>39</v>
      </c>
      <c r="N137" s="13">
        <v>12.1</v>
      </c>
      <c r="O137" s="13">
        <v>11.1</v>
      </c>
      <c r="P137" s="13">
        <v>5.8</v>
      </c>
      <c r="Q137" s="13">
        <v>117</v>
      </c>
      <c r="R137" s="13">
        <v>121</v>
      </c>
      <c r="S137" s="7" t="s">
        <v>185</v>
      </c>
      <c r="T137" s="7" t="s">
        <v>39</v>
      </c>
      <c r="U137" s="7" t="s">
        <v>39</v>
      </c>
      <c r="V137" s="7" t="s">
        <v>39</v>
      </c>
      <c r="W137" s="7" t="s">
        <v>185</v>
      </c>
      <c r="X137" s="7" t="s">
        <v>185</v>
      </c>
      <c r="Y137" s="14">
        <f t="shared" si="11"/>
        <v>2.25641025641026</v>
      </c>
      <c r="Z137" s="60">
        <f t="shared" si="12"/>
        <v>10.9009009009009</v>
      </c>
      <c r="AA137" s="60">
        <f t="shared" si="13"/>
        <v>792.792792792793</v>
      </c>
    </row>
    <row r="138" s="46" customFormat="1" spans="1:27">
      <c r="A138" s="64" t="s">
        <v>153</v>
      </c>
      <c r="B138" s="64" t="s">
        <v>193</v>
      </c>
      <c r="C138" s="64" t="s">
        <v>155</v>
      </c>
      <c r="D138" s="64" t="s">
        <v>194</v>
      </c>
      <c r="E138" s="64" t="s">
        <v>37</v>
      </c>
      <c r="F138" s="64" t="s">
        <v>195</v>
      </c>
      <c r="G138" s="65"/>
      <c r="H138" s="64">
        <v>2.51</v>
      </c>
      <c r="I138" s="64">
        <v>0.55</v>
      </c>
      <c r="J138" s="64">
        <v>0.41</v>
      </c>
      <c r="K138" s="64">
        <v>222</v>
      </c>
      <c r="L138" s="64" t="s">
        <v>39</v>
      </c>
      <c r="M138" s="64" t="s">
        <v>39</v>
      </c>
      <c r="N138" s="19">
        <v>10.7</v>
      </c>
      <c r="O138" s="19">
        <v>14.5</v>
      </c>
      <c r="P138" s="19">
        <v>3.3</v>
      </c>
      <c r="Q138" s="19">
        <v>172.8</v>
      </c>
      <c r="R138" s="19">
        <v>58.9</v>
      </c>
      <c r="S138" s="64">
        <v>5.4</v>
      </c>
      <c r="T138" s="64">
        <v>10</v>
      </c>
      <c r="U138" s="64" t="s">
        <v>39</v>
      </c>
      <c r="V138" s="64">
        <v>0.1</v>
      </c>
      <c r="W138" s="64">
        <v>0.99</v>
      </c>
      <c r="X138" s="64">
        <v>0.64</v>
      </c>
      <c r="Y138" s="15">
        <f t="shared" si="11"/>
        <v>1.34146341463415</v>
      </c>
      <c r="Z138" s="79">
        <f t="shared" si="12"/>
        <v>4.06206896551724</v>
      </c>
      <c r="AA138" s="79">
        <f t="shared" si="13"/>
        <v>379.310344827586</v>
      </c>
    </row>
    <row r="139" s="46" customFormat="1" spans="1:27">
      <c r="A139" s="64" t="s">
        <v>153</v>
      </c>
      <c r="B139" s="64" t="s">
        <v>193</v>
      </c>
      <c r="C139" s="64" t="s">
        <v>155</v>
      </c>
      <c r="D139" s="64" t="s">
        <v>196</v>
      </c>
      <c r="E139" s="64" t="s">
        <v>37</v>
      </c>
      <c r="F139" s="64" t="s">
        <v>195</v>
      </c>
      <c r="G139" s="65"/>
      <c r="H139" s="64">
        <v>2.36</v>
      </c>
      <c r="I139" s="64">
        <v>0.53</v>
      </c>
      <c r="J139" s="64">
        <v>0.37</v>
      </c>
      <c r="K139" s="64">
        <v>207</v>
      </c>
      <c r="L139" s="64" t="s">
        <v>39</v>
      </c>
      <c r="M139" s="64" t="s">
        <v>39</v>
      </c>
      <c r="N139" s="19">
        <v>11.4</v>
      </c>
      <c r="O139" s="19">
        <v>21.3</v>
      </c>
      <c r="P139" s="19">
        <v>3.8</v>
      </c>
      <c r="Q139" s="19">
        <v>197.2</v>
      </c>
      <c r="R139" s="19">
        <v>59.7</v>
      </c>
      <c r="S139" s="64">
        <v>6.4</v>
      </c>
      <c r="T139" s="64">
        <v>9</v>
      </c>
      <c r="U139" s="64" t="s">
        <v>39</v>
      </c>
      <c r="V139" s="64">
        <v>0.1</v>
      </c>
      <c r="W139" s="64">
        <v>0.96</v>
      </c>
      <c r="X139" s="64">
        <v>0.62</v>
      </c>
      <c r="Y139" s="15">
        <f t="shared" si="11"/>
        <v>1.43243243243243</v>
      </c>
      <c r="Z139" s="79">
        <f t="shared" si="12"/>
        <v>2.80281690140845</v>
      </c>
      <c r="AA139" s="79">
        <f t="shared" si="13"/>
        <v>248.826291079812</v>
      </c>
    </row>
    <row r="140" s="46" customFormat="1" spans="1:27">
      <c r="A140" s="64" t="s">
        <v>153</v>
      </c>
      <c r="B140" s="64" t="s">
        <v>193</v>
      </c>
      <c r="C140" s="64" t="s">
        <v>155</v>
      </c>
      <c r="D140" s="64" t="s">
        <v>197</v>
      </c>
      <c r="E140" s="64" t="s">
        <v>37</v>
      </c>
      <c r="F140" s="64" t="s">
        <v>195</v>
      </c>
      <c r="G140" s="65"/>
      <c r="H140" s="64">
        <v>1.6</v>
      </c>
      <c r="I140" s="64">
        <v>0.46</v>
      </c>
      <c r="J140" s="64">
        <v>0.41</v>
      </c>
      <c r="K140" s="64">
        <v>210</v>
      </c>
      <c r="L140" s="64" t="s">
        <v>39</v>
      </c>
      <c r="M140" s="64" t="s">
        <v>39</v>
      </c>
      <c r="N140" s="19">
        <v>8.5</v>
      </c>
      <c r="O140" s="19">
        <v>15.1</v>
      </c>
      <c r="P140" s="19">
        <v>3.3</v>
      </c>
      <c r="Q140" s="19">
        <v>218.7</v>
      </c>
      <c r="R140" s="19">
        <v>51.5</v>
      </c>
      <c r="S140" s="64">
        <v>2.2</v>
      </c>
      <c r="T140" s="64">
        <v>8</v>
      </c>
      <c r="U140" s="64" t="s">
        <v>39</v>
      </c>
      <c r="V140" s="64">
        <v>0.07</v>
      </c>
      <c r="W140" s="64">
        <v>0.76</v>
      </c>
      <c r="X140" s="64">
        <v>0.51</v>
      </c>
      <c r="Y140" s="15">
        <f t="shared" si="11"/>
        <v>1.1219512195122</v>
      </c>
      <c r="Z140" s="79">
        <f t="shared" si="12"/>
        <v>3.41059602649007</v>
      </c>
      <c r="AA140" s="79">
        <f t="shared" si="13"/>
        <v>304.635761589404</v>
      </c>
    </row>
    <row r="141" s="46" customFormat="1" spans="1:27">
      <c r="A141" s="64" t="s">
        <v>153</v>
      </c>
      <c r="B141" s="64" t="s">
        <v>193</v>
      </c>
      <c r="C141" s="64" t="s">
        <v>155</v>
      </c>
      <c r="D141" s="64" t="s">
        <v>198</v>
      </c>
      <c r="E141" s="64" t="s">
        <v>37</v>
      </c>
      <c r="F141" s="64" t="s">
        <v>195</v>
      </c>
      <c r="G141" s="65"/>
      <c r="H141" s="64">
        <v>2.15</v>
      </c>
      <c r="I141" s="64">
        <v>0.53</v>
      </c>
      <c r="J141" s="64">
        <v>0.31</v>
      </c>
      <c r="K141" s="64">
        <v>262</v>
      </c>
      <c r="L141" s="64" t="s">
        <v>39</v>
      </c>
      <c r="M141" s="64" t="s">
        <v>39</v>
      </c>
      <c r="N141" s="19">
        <v>8.3</v>
      </c>
      <c r="O141" s="19">
        <v>23</v>
      </c>
      <c r="P141" s="19">
        <v>2.8</v>
      </c>
      <c r="Q141" s="19">
        <v>92.5</v>
      </c>
      <c r="R141" s="19">
        <v>46.9</v>
      </c>
      <c r="S141" s="64">
        <v>4.7</v>
      </c>
      <c r="T141" s="64">
        <v>9</v>
      </c>
      <c r="U141" s="64" t="s">
        <v>39</v>
      </c>
      <c r="V141" s="64">
        <v>0.06</v>
      </c>
      <c r="W141" s="64">
        <v>1.07</v>
      </c>
      <c r="X141" s="64">
        <v>0.58</v>
      </c>
      <c r="Y141" s="15">
        <f t="shared" si="11"/>
        <v>1.70967741935484</v>
      </c>
      <c r="Z141" s="79">
        <f t="shared" si="12"/>
        <v>2.03913043478261</v>
      </c>
      <c r="AA141" s="79">
        <f t="shared" si="13"/>
        <v>230.434782608696</v>
      </c>
    </row>
    <row r="142" s="46" customFormat="1" spans="1:27">
      <c r="A142" s="64" t="s">
        <v>153</v>
      </c>
      <c r="B142" s="64" t="s">
        <v>193</v>
      </c>
      <c r="C142" s="64" t="s">
        <v>155</v>
      </c>
      <c r="D142" s="64" t="s">
        <v>199</v>
      </c>
      <c r="E142" s="64" t="s">
        <v>37</v>
      </c>
      <c r="F142" s="64" t="s">
        <v>195</v>
      </c>
      <c r="G142" s="65"/>
      <c r="H142" s="64">
        <v>1.85</v>
      </c>
      <c r="I142" s="64">
        <v>0.57</v>
      </c>
      <c r="J142" s="64">
        <v>0.4</v>
      </c>
      <c r="K142" s="64">
        <v>241</v>
      </c>
      <c r="L142" s="64" t="s">
        <v>39</v>
      </c>
      <c r="M142" s="64" t="s">
        <v>39</v>
      </c>
      <c r="N142" s="19">
        <v>10.1</v>
      </c>
      <c r="O142" s="19">
        <v>25.4</v>
      </c>
      <c r="P142" s="19">
        <v>3.5</v>
      </c>
      <c r="Q142" s="19">
        <v>144.6</v>
      </c>
      <c r="R142" s="19">
        <v>45.5</v>
      </c>
      <c r="S142" s="64">
        <v>2.7</v>
      </c>
      <c r="T142" s="64">
        <v>8</v>
      </c>
      <c r="U142" s="64" t="s">
        <v>39</v>
      </c>
      <c r="V142" s="64">
        <v>0.06</v>
      </c>
      <c r="W142" s="64">
        <v>1.02</v>
      </c>
      <c r="X142" s="64">
        <v>0.67</v>
      </c>
      <c r="Y142" s="15">
        <f t="shared" si="11"/>
        <v>1.425</v>
      </c>
      <c r="Z142" s="79">
        <f t="shared" si="12"/>
        <v>1.79133858267717</v>
      </c>
      <c r="AA142" s="79">
        <f t="shared" si="13"/>
        <v>224.409448818898</v>
      </c>
    </row>
    <row r="143" spans="1:27">
      <c r="A143" s="7" t="s">
        <v>153</v>
      </c>
      <c r="B143" s="7" t="s">
        <v>154</v>
      </c>
      <c r="C143" s="7" t="s">
        <v>155</v>
      </c>
      <c r="D143" s="7" t="s">
        <v>200</v>
      </c>
      <c r="E143" s="7" t="s">
        <v>201</v>
      </c>
      <c r="F143" s="7" t="s">
        <v>157</v>
      </c>
      <c r="G143" s="8"/>
      <c r="H143" s="7">
        <v>7.32</v>
      </c>
      <c r="I143" s="7">
        <v>2</v>
      </c>
      <c r="J143" s="7">
        <v>0.22</v>
      </c>
      <c r="K143" s="7" t="s">
        <v>39</v>
      </c>
      <c r="L143" s="7" t="s">
        <v>39</v>
      </c>
      <c r="M143" s="7" t="s">
        <v>39</v>
      </c>
      <c r="N143" s="13">
        <v>94.5</v>
      </c>
      <c r="O143" s="13">
        <v>83.8</v>
      </c>
      <c r="P143" s="13">
        <v>27.6</v>
      </c>
      <c r="Q143" s="13">
        <v>29.9</v>
      </c>
      <c r="R143" s="13">
        <v>98.2</v>
      </c>
      <c r="S143" s="7">
        <v>5.2</v>
      </c>
      <c r="T143" s="7" t="s">
        <v>39</v>
      </c>
      <c r="U143" s="7" t="s">
        <v>39</v>
      </c>
      <c r="V143" s="7" t="s">
        <v>39</v>
      </c>
      <c r="W143" s="7">
        <v>1.4</v>
      </c>
      <c r="X143" s="7">
        <v>1.38</v>
      </c>
      <c r="Y143" s="14">
        <f t="shared" si="11"/>
        <v>9.09090909090909</v>
      </c>
      <c r="Z143" s="60">
        <f t="shared" si="12"/>
        <v>1.17183770883055</v>
      </c>
      <c r="AA143" s="60">
        <f t="shared" si="13"/>
        <v>238.663484486874</v>
      </c>
    </row>
    <row r="144" spans="1:27">
      <c r="A144" s="7" t="s">
        <v>153</v>
      </c>
      <c r="B144" s="7" t="s">
        <v>154</v>
      </c>
      <c r="C144" s="7" t="s">
        <v>155</v>
      </c>
      <c r="D144" s="7" t="s">
        <v>202</v>
      </c>
      <c r="E144" s="7" t="s">
        <v>201</v>
      </c>
      <c r="F144" s="7" t="s">
        <v>157</v>
      </c>
      <c r="G144" s="8"/>
      <c r="H144" s="7">
        <v>6.91</v>
      </c>
      <c r="I144" s="7">
        <v>1.73</v>
      </c>
      <c r="J144" s="7">
        <v>0.83</v>
      </c>
      <c r="K144" s="7" t="s">
        <v>39</v>
      </c>
      <c r="L144" s="7" t="s">
        <v>39</v>
      </c>
      <c r="M144" s="7" t="s">
        <v>39</v>
      </c>
      <c r="N144" s="13">
        <v>82.3</v>
      </c>
      <c r="O144" s="13">
        <v>88.2</v>
      </c>
      <c r="P144" s="13">
        <v>27.2</v>
      </c>
      <c r="Q144" s="13">
        <v>17.7</v>
      </c>
      <c r="R144" s="13">
        <v>116</v>
      </c>
      <c r="S144" s="7">
        <v>2.3</v>
      </c>
      <c r="T144" s="7" t="s">
        <v>39</v>
      </c>
      <c r="U144" s="7" t="s">
        <v>39</v>
      </c>
      <c r="V144" s="7" t="s">
        <v>39</v>
      </c>
      <c r="W144" s="7">
        <v>1.12</v>
      </c>
      <c r="X144" s="7">
        <v>1.15</v>
      </c>
      <c r="Y144" s="14">
        <f t="shared" si="11"/>
        <v>2.08433734939759</v>
      </c>
      <c r="Z144" s="60">
        <f t="shared" si="12"/>
        <v>1.31519274376417</v>
      </c>
      <c r="AA144" s="60">
        <f t="shared" si="13"/>
        <v>196.145124716553</v>
      </c>
    </row>
    <row r="145" spans="1:27">
      <c r="A145" s="7" t="s">
        <v>153</v>
      </c>
      <c r="B145" s="7" t="s">
        <v>154</v>
      </c>
      <c r="C145" s="7" t="s">
        <v>155</v>
      </c>
      <c r="D145" s="7" t="s">
        <v>203</v>
      </c>
      <c r="E145" s="7" t="s">
        <v>201</v>
      </c>
      <c r="F145" s="7" t="s">
        <v>157</v>
      </c>
      <c r="G145" s="8"/>
      <c r="H145" s="7">
        <v>8.11</v>
      </c>
      <c r="I145" s="7">
        <v>2.01</v>
      </c>
      <c r="J145" s="7">
        <v>1.13</v>
      </c>
      <c r="K145" s="7" t="s">
        <v>39</v>
      </c>
      <c r="L145" s="7" t="s">
        <v>39</v>
      </c>
      <c r="M145" s="7" t="s">
        <v>39</v>
      </c>
      <c r="N145" s="13">
        <v>85.5</v>
      </c>
      <c r="O145" s="13">
        <v>95.7</v>
      </c>
      <c r="P145" s="13">
        <v>27.3</v>
      </c>
      <c r="Q145" s="13">
        <v>44.3</v>
      </c>
      <c r="R145" s="13">
        <v>166</v>
      </c>
      <c r="S145" s="7">
        <v>4.8</v>
      </c>
      <c r="T145" s="7" t="s">
        <v>39</v>
      </c>
      <c r="U145" s="7" t="s">
        <v>39</v>
      </c>
      <c r="V145" s="7" t="s">
        <v>39</v>
      </c>
      <c r="W145" s="7">
        <v>2.22</v>
      </c>
      <c r="X145" s="7">
        <v>1.62</v>
      </c>
      <c r="Y145" s="14">
        <f t="shared" si="11"/>
        <v>1.7787610619469</v>
      </c>
      <c r="Z145" s="60">
        <f t="shared" si="12"/>
        <v>1.73458725182863</v>
      </c>
      <c r="AA145" s="60">
        <f t="shared" si="13"/>
        <v>210.031347962382</v>
      </c>
    </row>
    <row r="146" spans="1:27">
      <c r="A146" s="7" t="s">
        <v>153</v>
      </c>
      <c r="B146" s="7" t="s">
        <v>154</v>
      </c>
      <c r="C146" s="7" t="s">
        <v>155</v>
      </c>
      <c r="D146" s="7" t="s">
        <v>204</v>
      </c>
      <c r="E146" s="7" t="s">
        <v>201</v>
      </c>
      <c r="F146" s="7" t="s">
        <v>157</v>
      </c>
      <c r="G146" s="8"/>
      <c r="H146" s="7">
        <v>8.01</v>
      </c>
      <c r="I146" s="7">
        <v>1.36</v>
      </c>
      <c r="J146" s="7">
        <v>2.13</v>
      </c>
      <c r="K146" s="7" t="s">
        <v>39</v>
      </c>
      <c r="L146" s="7" t="s">
        <v>39</v>
      </c>
      <c r="M146" s="7" t="s">
        <v>39</v>
      </c>
      <c r="N146" s="13">
        <v>117</v>
      </c>
      <c r="O146" s="13">
        <v>125</v>
      </c>
      <c r="P146" s="13">
        <v>26.5</v>
      </c>
      <c r="Q146" s="13">
        <v>25.1</v>
      </c>
      <c r="R146" s="13">
        <v>144</v>
      </c>
      <c r="S146" s="7">
        <v>5.2</v>
      </c>
      <c r="T146" s="7" t="s">
        <v>39</v>
      </c>
      <c r="U146" s="7" t="s">
        <v>39</v>
      </c>
      <c r="V146" s="7" t="s">
        <v>39</v>
      </c>
      <c r="W146" s="7">
        <v>1.83</v>
      </c>
      <c r="X146" s="7">
        <v>0.98</v>
      </c>
      <c r="Y146" s="14">
        <f t="shared" si="11"/>
        <v>0.63849765258216</v>
      </c>
      <c r="Z146" s="60">
        <f t="shared" si="12"/>
        <v>1.152</v>
      </c>
      <c r="AA146" s="60">
        <f t="shared" si="13"/>
        <v>108.8</v>
      </c>
    </row>
    <row r="147" spans="1:27">
      <c r="A147" s="7" t="s">
        <v>153</v>
      </c>
      <c r="B147" s="7" t="s">
        <v>154</v>
      </c>
      <c r="C147" s="7" t="s">
        <v>155</v>
      </c>
      <c r="D147" s="7" t="s">
        <v>205</v>
      </c>
      <c r="E147" s="7" t="s">
        <v>201</v>
      </c>
      <c r="F147" s="7" t="s">
        <v>157</v>
      </c>
      <c r="G147" s="8"/>
      <c r="H147" s="7">
        <v>10.1</v>
      </c>
      <c r="I147" s="7">
        <v>2.7</v>
      </c>
      <c r="J147" s="7">
        <v>0.42</v>
      </c>
      <c r="K147" s="7" t="s">
        <v>39</v>
      </c>
      <c r="L147" s="7" t="s">
        <v>39</v>
      </c>
      <c r="M147" s="7" t="s">
        <v>39</v>
      </c>
      <c r="N147" s="13">
        <v>65.3</v>
      </c>
      <c r="O147" s="13">
        <v>58.2</v>
      </c>
      <c r="P147" s="13">
        <v>23.8</v>
      </c>
      <c r="Q147" s="13">
        <v>28.1</v>
      </c>
      <c r="R147" s="13">
        <v>179</v>
      </c>
      <c r="S147" s="7">
        <v>2.8</v>
      </c>
      <c r="T147" s="7" t="s">
        <v>39</v>
      </c>
      <c r="U147" s="7" t="s">
        <v>39</v>
      </c>
      <c r="V147" s="7" t="s">
        <v>39</v>
      </c>
      <c r="W147" s="7">
        <v>3.18</v>
      </c>
      <c r="X147" s="7">
        <v>1.8</v>
      </c>
      <c r="Y147" s="14">
        <f t="shared" si="11"/>
        <v>6.42857142857143</v>
      </c>
      <c r="Z147" s="60">
        <f t="shared" si="12"/>
        <v>3.07560137457045</v>
      </c>
      <c r="AA147" s="60">
        <f t="shared" si="13"/>
        <v>463.917525773196</v>
      </c>
    </row>
    <row r="148" spans="1:27">
      <c r="A148" s="7" t="s">
        <v>153</v>
      </c>
      <c r="B148" s="7" t="s">
        <v>154</v>
      </c>
      <c r="C148" s="7" t="s">
        <v>155</v>
      </c>
      <c r="D148" s="7" t="s">
        <v>206</v>
      </c>
      <c r="E148" s="7" t="s">
        <v>201</v>
      </c>
      <c r="F148" s="7" t="s">
        <v>157</v>
      </c>
      <c r="G148" s="8"/>
      <c r="H148" s="7">
        <v>5.32</v>
      </c>
      <c r="I148" s="7">
        <v>1.43</v>
      </c>
      <c r="J148" s="7">
        <v>0.12</v>
      </c>
      <c r="K148" s="7" t="s">
        <v>39</v>
      </c>
      <c r="L148" s="7" t="s">
        <v>39</v>
      </c>
      <c r="M148" s="7" t="s">
        <v>39</v>
      </c>
      <c r="N148" s="13">
        <v>53.5</v>
      </c>
      <c r="O148" s="13">
        <v>61.4</v>
      </c>
      <c r="P148" s="13">
        <v>18.3</v>
      </c>
      <c r="Q148" s="13">
        <v>42.5</v>
      </c>
      <c r="R148" s="13">
        <v>35.8</v>
      </c>
      <c r="S148" s="7">
        <v>2.2</v>
      </c>
      <c r="T148" s="7" t="s">
        <v>39</v>
      </c>
      <c r="U148" s="7" t="s">
        <v>39</v>
      </c>
      <c r="V148" s="7" t="s">
        <v>39</v>
      </c>
      <c r="W148" s="7">
        <v>1.33</v>
      </c>
      <c r="X148" s="7">
        <v>1.03</v>
      </c>
      <c r="Y148" s="14">
        <f t="shared" si="11"/>
        <v>11.9166666666667</v>
      </c>
      <c r="Z148" s="60">
        <f t="shared" si="12"/>
        <v>0.583061889250814</v>
      </c>
      <c r="AA148" s="60">
        <f t="shared" si="13"/>
        <v>232.899022801303</v>
      </c>
    </row>
    <row r="149" s="47" customFormat="1" spans="1:27">
      <c r="A149" s="66" t="s">
        <v>153</v>
      </c>
      <c r="B149" s="66" t="s">
        <v>154</v>
      </c>
      <c r="C149" s="66" t="s">
        <v>155</v>
      </c>
      <c r="D149" s="66" t="s">
        <v>207</v>
      </c>
      <c r="E149" s="66" t="s">
        <v>201</v>
      </c>
      <c r="F149" s="66" t="s">
        <v>195</v>
      </c>
      <c r="G149" s="67"/>
      <c r="H149" s="66">
        <v>20.2</v>
      </c>
      <c r="I149" s="66">
        <v>4.69</v>
      </c>
      <c r="J149" s="66">
        <v>0.59</v>
      </c>
      <c r="K149" s="66">
        <v>1210</v>
      </c>
      <c r="L149" s="66" t="s">
        <v>39</v>
      </c>
      <c r="M149" s="66" t="s">
        <v>39</v>
      </c>
      <c r="N149" s="74">
        <v>86.3</v>
      </c>
      <c r="O149" s="74">
        <v>144.7</v>
      </c>
      <c r="P149" s="74">
        <v>50</v>
      </c>
      <c r="Q149" s="74">
        <v>29.3</v>
      </c>
      <c r="R149" s="74">
        <v>266.3</v>
      </c>
      <c r="S149" s="66">
        <v>2.3</v>
      </c>
      <c r="T149" s="66">
        <v>61.2</v>
      </c>
      <c r="U149" s="66" t="s">
        <v>39</v>
      </c>
      <c r="V149" s="66">
        <v>0.08</v>
      </c>
      <c r="W149" s="66">
        <v>3.77</v>
      </c>
      <c r="X149" s="66">
        <v>1.72</v>
      </c>
      <c r="Y149" s="80">
        <f t="shared" si="11"/>
        <v>7.94915254237288</v>
      </c>
      <c r="Z149" s="81">
        <f t="shared" si="12"/>
        <v>1.8403593642018</v>
      </c>
      <c r="AA149" s="81">
        <f t="shared" si="13"/>
        <v>324.118866620594</v>
      </c>
    </row>
    <row r="150" s="47" customFormat="1" spans="1:27">
      <c r="A150" s="66" t="s">
        <v>153</v>
      </c>
      <c r="B150" s="66" t="s">
        <v>154</v>
      </c>
      <c r="C150" s="66" t="s">
        <v>155</v>
      </c>
      <c r="D150" s="66" t="s">
        <v>208</v>
      </c>
      <c r="E150" s="66" t="s">
        <v>201</v>
      </c>
      <c r="F150" s="66" t="s">
        <v>195</v>
      </c>
      <c r="G150" s="67"/>
      <c r="H150" s="66">
        <v>10.95</v>
      </c>
      <c r="I150" s="66">
        <v>2.6</v>
      </c>
      <c r="J150" s="66">
        <v>1.59</v>
      </c>
      <c r="K150" s="66">
        <v>630</v>
      </c>
      <c r="L150" s="66" t="s">
        <v>39</v>
      </c>
      <c r="M150" s="66" t="s">
        <v>39</v>
      </c>
      <c r="N150" s="74">
        <v>12.5</v>
      </c>
      <c r="O150" s="74">
        <v>13.1</v>
      </c>
      <c r="P150" s="74">
        <v>9.3</v>
      </c>
      <c r="Q150" s="74">
        <v>38.2</v>
      </c>
      <c r="R150" s="74">
        <v>150.5</v>
      </c>
      <c r="S150" s="66">
        <v>3</v>
      </c>
      <c r="T150" s="66">
        <v>34.7</v>
      </c>
      <c r="U150" s="66" t="s">
        <v>39</v>
      </c>
      <c r="V150" s="66">
        <v>0.16</v>
      </c>
      <c r="W150" s="66">
        <v>2.46</v>
      </c>
      <c r="X150" s="66">
        <v>0.79</v>
      </c>
      <c r="Y150" s="80">
        <f t="shared" si="11"/>
        <v>1.63522012578616</v>
      </c>
      <c r="Z150" s="81">
        <f t="shared" si="12"/>
        <v>11.4885496183206</v>
      </c>
      <c r="AA150" s="81">
        <f t="shared" si="13"/>
        <v>1984.73282442748</v>
      </c>
    </row>
    <row r="151" s="47" customFormat="1" spans="1:27">
      <c r="A151" s="66" t="s">
        <v>153</v>
      </c>
      <c r="B151" s="66" t="s">
        <v>154</v>
      </c>
      <c r="C151" s="66" t="s">
        <v>155</v>
      </c>
      <c r="D151" s="66" t="s">
        <v>209</v>
      </c>
      <c r="E151" s="66" t="s">
        <v>201</v>
      </c>
      <c r="F151" s="66" t="s">
        <v>195</v>
      </c>
      <c r="G151" s="67"/>
      <c r="H151" s="66">
        <v>12.55</v>
      </c>
      <c r="I151" s="66">
        <v>2.91</v>
      </c>
      <c r="J151" s="66">
        <v>1.16</v>
      </c>
      <c r="K151" s="66">
        <v>680</v>
      </c>
      <c r="L151" s="66" t="s">
        <v>39</v>
      </c>
      <c r="M151" s="66" t="s">
        <v>39</v>
      </c>
      <c r="N151" s="74">
        <v>23.5</v>
      </c>
      <c r="O151" s="74">
        <v>70.1</v>
      </c>
      <c r="P151" s="74">
        <v>16.1</v>
      </c>
      <c r="Q151" s="74">
        <v>578.4</v>
      </c>
      <c r="R151" s="74">
        <v>163.1</v>
      </c>
      <c r="S151" s="66">
        <v>7.7</v>
      </c>
      <c r="T151" s="66">
        <v>35.5</v>
      </c>
      <c r="U151" s="66" t="s">
        <v>39</v>
      </c>
      <c r="V151" s="66">
        <v>0.23</v>
      </c>
      <c r="W151" s="66">
        <v>2.2</v>
      </c>
      <c r="X151" s="66">
        <v>0.95</v>
      </c>
      <c r="Y151" s="80">
        <f t="shared" si="11"/>
        <v>2.50862068965517</v>
      </c>
      <c r="Z151" s="81">
        <f t="shared" si="12"/>
        <v>2.32667617689016</v>
      </c>
      <c r="AA151" s="81">
        <f t="shared" si="13"/>
        <v>415.121255349501</v>
      </c>
    </row>
    <row r="152" s="47" customFormat="1" spans="1:27">
      <c r="A152" s="66" t="s">
        <v>153</v>
      </c>
      <c r="B152" s="66" t="s">
        <v>154</v>
      </c>
      <c r="C152" s="66" t="s">
        <v>155</v>
      </c>
      <c r="D152" s="66" t="s">
        <v>210</v>
      </c>
      <c r="E152" s="66" t="s">
        <v>201</v>
      </c>
      <c r="F152" s="66" t="s">
        <v>195</v>
      </c>
      <c r="G152" s="67"/>
      <c r="H152" s="66">
        <v>12.45</v>
      </c>
      <c r="I152" s="66">
        <v>2.75</v>
      </c>
      <c r="J152" s="66">
        <v>1.75</v>
      </c>
      <c r="K152" s="66">
        <v>660</v>
      </c>
      <c r="L152" s="66" t="s">
        <v>39</v>
      </c>
      <c r="M152" s="66" t="s">
        <v>39</v>
      </c>
      <c r="N152" s="74">
        <v>16.2</v>
      </c>
      <c r="O152" s="74">
        <v>22.9</v>
      </c>
      <c r="P152" s="74">
        <v>14.4</v>
      </c>
      <c r="Q152" s="74">
        <v>66.4</v>
      </c>
      <c r="R152" s="74">
        <v>150.9</v>
      </c>
      <c r="S152" s="66">
        <v>5.9</v>
      </c>
      <c r="T152" s="66">
        <v>38.1</v>
      </c>
      <c r="U152" s="66" t="s">
        <v>39</v>
      </c>
      <c r="V152" s="66">
        <v>0.09</v>
      </c>
      <c r="W152" s="66">
        <v>2.46</v>
      </c>
      <c r="X152" s="66">
        <v>0.84</v>
      </c>
      <c r="Y152" s="80">
        <f t="shared" si="11"/>
        <v>1.57142857142857</v>
      </c>
      <c r="Z152" s="81">
        <f t="shared" si="12"/>
        <v>6.58951965065502</v>
      </c>
      <c r="AA152" s="81">
        <f t="shared" si="13"/>
        <v>1200.87336244541</v>
      </c>
    </row>
    <row r="153" s="47" customFormat="1" spans="1:27">
      <c r="A153" s="66" t="s">
        <v>153</v>
      </c>
      <c r="B153" s="66" t="s">
        <v>154</v>
      </c>
      <c r="C153" s="66" t="s">
        <v>155</v>
      </c>
      <c r="D153" s="66" t="s">
        <v>211</v>
      </c>
      <c r="E153" s="66" t="s">
        <v>201</v>
      </c>
      <c r="F153" s="66" t="s">
        <v>195</v>
      </c>
      <c r="G153" s="67"/>
      <c r="H153" s="66">
        <v>12.7</v>
      </c>
      <c r="I153" s="66">
        <v>2.67</v>
      </c>
      <c r="J153" s="66">
        <v>1.59</v>
      </c>
      <c r="K153" s="66">
        <v>670</v>
      </c>
      <c r="L153" s="66" t="s">
        <v>39</v>
      </c>
      <c r="M153" s="66" t="s">
        <v>39</v>
      </c>
      <c r="N153" s="74">
        <v>12.4</v>
      </c>
      <c r="O153" s="74">
        <v>37.6</v>
      </c>
      <c r="P153" s="74">
        <v>11.6</v>
      </c>
      <c r="Q153" s="74">
        <v>22.3</v>
      </c>
      <c r="R153" s="74">
        <v>108.4</v>
      </c>
      <c r="S153" s="66">
        <v>2.2</v>
      </c>
      <c r="T153" s="66">
        <v>36.9</v>
      </c>
      <c r="U153" s="66" t="s">
        <v>39</v>
      </c>
      <c r="V153" s="66">
        <v>0.12</v>
      </c>
      <c r="W153" s="66">
        <v>2.03</v>
      </c>
      <c r="X153" s="66">
        <v>0.77</v>
      </c>
      <c r="Y153" s="80">
        <f t="shared" si="11"/>
        <v>1.67924528301887</v>
      </c>
      <c r="Z153" s="81">
        <f t="shared" si="12"/>
        <v>2.88297872340426</v>
      </c>
      <c r="AA153" s="81">
        <f t="shared" si="13"/>
        <v>710.106382978723</v>
      </c>
    </row>
    <row r="154" s="47" customFormat="1" spans="1:27">
      <c r="A154" s="66" t="s">
        <v>153</v>
      </c>
      <c r="B154" s="66" t="s">
        <v>154</v>
      </c>
      <c r="C154" s="66" t="s">
        <v>155</v>
      </c>
      <c r="D154" s="66" t="s">
        <v>212</v>
      </c>
      <c r="E154" s="66" t="s">
        <v>201</v>
      </c>
      <c r="F154" s="66" t="s">
        <v>195</v>
      </c>
      <c r="G154" s="67"/>
      <c r="H154" s="66">
        <v>11.7</v>
      </c>
      <c r="I154" s="66">
        <v>2.68</v>
      </c>
      <c r="J154" s="66">
        <v>1.89</v>
      </c>
      <c r="K154" s="66">
        <v>740</v>
      </c>
      <c r="L154" s="66" t="s">
        <v>39</v>
      </c>
      <c r="M154" s="66" t="s">
        <v>39</v>
      </c>
      <c r="N154" s="74">
        <v>121.8</v>
      </c>
      <c r="O154" s="74">
        <v>82.4</v>
      </c>
      <c r="P154" s="74">
        <v>31.5</v>
      </c>
      <c r="Q154" s="74">
        <v>115.6</v>
      </c>
      <c r="R154" s="74">
        <v>180.5</v>
      </c>
      <c r="S154" s="66">
        <v>1.7</v>
      </c>
      <c r="T154" s="66">
        <v>33.9</v>
      </c>
      <c r="U154" s="66" t="s">
        <v>39</v>
      </c>
      <c r="V154" s="66">
        <v>0.05</v>
      </c>
      <c r="W154" s="66">
        <v>4.02</v>
      </c>
      <c r="X154" s="66">
        <v>3.27</v>
      </c>
      <c r="Y154" s="80">
        <f t="shared" si="11"/>
        <v>1.41798941798942</v>
      </c>
      <c r="Z154" s="81">
        <f t="shared" si="12"/>
        <v>2.19053398058252</v>
      </c>
      <c r="AA154" s="81">
        <f t="shared" si="13"/>
        <v>325.242718446602</v>
      </c>
    </row>
    <row r="155" s="47" customFormat="1" spans="1:27">
      <c r="A155" s="66" t="s">
        <v>153</v>
      </c>
      <c r="B155" s="66" t="s">
        <v>154</v>
      </c>
      <c r="C155" s="66" t="s">
        <v>155</v>
      </c>
      <c r="D155" s="66" t="s">
        <v>213</v>
      </c>
      <c r="E155" s="66" t="s">
        <v>201</v>
      </c>
      <c r="F155" s="66" t="s">
        <v>195</v>
      </c>
      <c r="G155" s="67"/>
      <c r="H155" s="66">
        <v>6.42</v>
      </c>
      <c r="I155" s="66">
        <v>1.38</v>
      </c>
      <c r="J155" s="66">
        <v>0.53</v>
      </c>
      <c r="K155" s="66">
        <v>390</v>
      </c>
      <c r="L155" s="66" t="s">
        <v>39</v>
      </c>
      <c r="M155" s="66" t="s">
        <v>39</v>
      </c>
      <c r="N155" s="74">
        <v>110.2</v>
      </c>
      <c r="O155" s="74">
        <v>131.2</v>
      </c>
      <c r="P155" s="74">
        <v>32.1</v>
      </c>
      <c r="Q155" s="74">
        <v>225.2</v>
      </c>
      <c r="R155" s="74">
        <v>145.2</v>
      </c>
      <c r="S155" s="66">
        <v>1.1</v>
      </c>
      <c r="T155" s="66">
        <v>19.5</v>
      </c>
      <c r="U155" s="66" t="s">
        <v>39</v>
      </c>
      <c r="V155" s="66">
        <v>0.06</v>
      </c>
      <c r="W155" s="66">
        <v>1.52</v>
      </c>
      <c r="X155" s="66">
        <v>0.73</v>
      </c>
      <c r="Y155" s="80">
        <f t="shared" si="11"/>
        <v>2.60377358490566</v>
      </c>
      <c r="Z155" s="81">
        <f t="shared" si="12"/>
        <v>1.10670731707317</v>
      </c>
      <c r="AA155" s="81">
        <f t="shared" si="13"/>
        <v>105.182926829268</v>
      </c>
    </row>
    <row r="156" s="47" customFormat="1" spans="1:27">
      <c r="A156" s="66" t="s">
        <v>153</v>
      </c>
      <c r="B156" s="66" t="s">
        <v>154</v>
      </c>
      <c r="C156" s="66" t="s">
        <v>155</v>
      </c>
      <c r="D156" s="66" t="s">
        <v>214</v>
      </c>
      <c r="E156" s="66" t="s">
        <v>201</v>
      </c>
      <c r="F156" s="66" t="s">
        <v>195</v>
      </c>
      <c r="G156" s="67"/>
      <c r="H156" s="66">
        <v>6.76</v>
      </c>
      <c r="I156" s="66">
        <v>1.76</v>
      </c>
      <c r="J156" s="66">
        <v>0.82</v>
      </c>
      <c r="K156" s="66">
        <v>526</v>
      </c>
      <c r="L156" s="66" t="s">
        <v>39</v>
      </c>
      <c r="M156" s="66" t="s">
        <v>39</v>
      </c>
      <c r="N156" s="74">
        <v>44.8</v>
      </c>
      <c r="O156" s="74">
        <v>62.1</v>
      </c>
      <c r="P156" s="74">
        <v>18</v>
      </c>
      <c r="Q156" s="74">
        <v>58.3</v>
      </c>
      <c r="R156" s="74">
        <v>341.5</v>
      </c>
      <c r="S156" s="66">
        <v>2.4</v>
      </c>
      <c r="T156" s="66" t="s">
        <v>39</v>
      </c>
      <c r="U156" s="66" t="s">
        <v>39</v>
      </c>
      <c r="V156" s="66">
        <v>0.07</v>
      </c>
      <c r="W156" s="66" t="s">
        <v>39</v>
      </c>
      <c r="X156" s="66">
        <v>1.68</v>
      </c>
      <c r="Y156" s="80">
        <f t="shared" si="11"/>
        <v>2.14634146341463</v>
      </c>
      <c r="Z156" s="81">
        <f t="shared" si="12"/>
        <v>5.49919484702093</v>
      </c>
      <c r="AA156" s="81">
        <f t="shared" si="13"/>
        <v>283.41384863124</v>
      </c>
    </row>
    <row r="157" s="47" customFormat="1" spans="1:27">
      <c r="A157" s="66" t="s">
        <v>153</v>
      </c>
      <c r="B157" s="66" t="s">
        <v>193</v>
      </c>
      <c r="C157" s="66" t="s">
        <v>155</v>
      </c>
      <c r="D157" s="66" t="s">
        <v>215</v>
      </c>
      <c r="E157" s="66" t="s">
        <v>201</v>
      </c>
      <c r="F157" s="66" t="s">
        <v>195</v>
      </c>
      <c r="G157" s="67"/>
      <c r="H157" s="66">
        <v>12.51</v>
      </c>
      <c r="I157" s="66">
        <v>3.06</v>
      </c>
      <c r="J157" s="66">
        <v>1.59</v>
      </c>
      <c r="K157" s="66">
        <v>540</v>
      </c>
      <c r="L157" s="66" t="s">
        <v>39</v>
      </c>
      <c r="M157" s="66" t="s">
        <v>39</v>
      </c>
      <c r="N157" s="74">
        <v>168.9</v>
      </c>
      <c r="O157" s="74">
        <v>141.6</v>
      </c>
      <c r="P157" s="74">
        <v>53.7</v>
      </c>
      <c r="Q157" s="74">
        <v>634.5</v>
      </c>
      <c r="R157" s="74">
        <v>861.3</v>
      </c>
      <c r="S157" s="66">
        <v>2.9</v>
      </c>
      <c r="T157" s="66">
        <v>17.6</v>
      </c>
      <c r="U157" s="66" t="s">
        <v>39</v>
      </c>
      <c r="V157" s="66">
        <v>0.08</v>
      </c>
      <c r="W157" s="66">
        <v>3.22</v>
      </c>
      <c r="X157" s="66">
        <v>2.21</v>
      </c>
      <c r="Y157" s="80">
        <f t="shared" si="11"/>
        <v>1.92452830188679</v>
      </c>
      <c r="Z157" s="81">
        <f t="shared" si="12"/>
        <v>6.08262711864407</v>
      </c>
      <c r="AA157" s="81">
        <f t="shared" si="13"/>
        <v>216.101694915254</v>
      </c>
    </row>
    <row r="158" spans="1:27">
      <c r="A158" s="7" t="s">
        <v>153</v>
      </c>
      <c r="B158" s="7" t="s">
        <v>154</v>
      </c>
      <c r="C158" s="7" t="s">
        <v>155</v>
      </c>
      <c r="D158" s="7" t="s">
        <v>216</v>
      </c>
      <c r="E158" s="7" t="s">
        <v>76</v>
      </c>
      <c r="F158" s="7" t="s">
        <v>157</v>
      </c>
      <c r="G158" s="8"/>
      <c r="H158" s="7">
        <v>24.7</v>
      </c>
      <c r="I158" s="7">
        <v>4.96</v>
      </c>
      <c r="J158" s="7">
        <v>1.63</v>
      </c>
      <c r="K158" s="7" t="s">
        <v>39</v>
      </c>
      <c r="L158" s="7" t="s">
        <v>39</v>
      </c>
      <c r="M158" s="7" t="s">
        <v>39</v>
      </c>
      <c r="N158" s="13">
        <v>211</v>
      </c>
      <c r="O158" s="13">
        <v>207</v>
      </c>
      <c r="P158" s="13">
        <v>97.7</v>
      </c>
      <c r="Q158" s="13">
        <v>60.9</v>
      </c>
      <c r="R158" s="13">
        <v>219</v>
      </c>
      <c r="S158" s="7">
        <v>4.9</v>
      </c>
      <c r="T158" s="7" t="s">
        <v>39</v>
      </c>
      <c r="U158" s="7" t="s">
        <v>39</v>
      </c>
      <c r="V158" s="7" t="s">
        <v>39</v>
      </c>
      <c r="W158" s="7">
        <v>2.71</v>
      </c>
      <c r="X158" s="7">
        <v>3.89</v>
      </c>
      <c r="Y158" s="14">
        <f t="shared" si="11"/>
        <v>3.04294478527607</v>
      </c>
      <c r="Z158" s="60">
        <f t="shared" si="12"/>
        <v>1.05797101449275</v>
      </c>
      <c r="AA158" s="60">
        <f t="shared" si="13"/>
        <v>239.613526570048</v>
      </c>
    </row>
    <row r="159" spans="1:27">
      <c r="A159" s="7" t="s">
        <v>153</v>
      </c>
      <c r="B159" s="7" t="s">
        <v>154</v>
      </c>
      <c r="C159" s="7" t="s">
        <v>155</v>
      </c>
      <c r="D159" s="7" t="s">
        <v>217</v>
      </c>
      <c r="E159" s="7" t="s">
        <v>76</v>
      </c>
      <c r="F159" s="7" t="s">
        <v>157</v>
      </c>
      <c r="G159" s="8"/>
      <c r="H159" s="7">
        <v>20.9</v>
      </c>
      <c r="I159" s="7">
        <v>4.23</v>
      </c>
      <c r="J159" s="7">
        <v>1.97</v>
      </c>
      <c r="K159" s="7" t="s">
        <v>39</v>
      </c>
      <c r="L159" s="7" t="s">
        <v>39</v>
      </c>
      <c r="M159" s="7" t="s">
        <v>39</v>
      </c>
      <c r="N159" s="13">
        <v>238</v>
      </c>
      <c r="O159" s="13">
        <v>91.7</v>
      </c>
      <c r="P159" s="13">
        <v>78.7</v>
      </c>
      <c r="Q159" s="13">
        <v>102</v>
      </c>
      <c r="R159" s="13">
        <v>1216</v>
      </c>
      <c r="S159" s="7">
        <v>3.9</v>
      </c>
      <c r="T159" s="7" t="s">
        <v>39</v>
      </c>
      <c r="U159" s="7" t="s">
        <v>39</v>
      </c>
      <c r="V159" s="7" t="s">
        <v>39</v>
      </c>
      <c r="W159" s="7">
        <v>5.07</v>
      </c>
      <c r="X159" s="7">
        <v>1.49</v>
      </c>
      <c r="Y159" s="14">
        <f t="shared" ref="Y159:Y185" si="14">I159/J159</f>
        <v>2.14720812182741</v>
      </c>
      <c r="Z159" s="60">
        <f t="shared" ref="Z159:Z185" si="15">R159/O159</f>
        <v>13.2606324972737</v>
      </c>
      <c r="AA159" s="60">
        <f t="shared" ref="AA159:AA185" si="16">I159*10000/O159</f>
        <v>461.286804798255</v>
      </c>
    </row>
    <row r="160" spans="1:27">
      <c r="A160" s="64" t="s">
        <v>153</v>
      </c>
      <c r="B160" s="64" t="s">
        <v>154</v>
      </c>
      <c r="C160" s="64" t="s">
        <v>155</v>
      </c>
      <c r="D160" s="64" t="s">
        <v>218</v>
      </c>
      <c r="E160" s="64" t="s">
        <v>76</v>
      </c>
      <c r="F160" s="64" t="s">
        <v>157</v>
      </c>
      <c r="G160" s="68" t="s">
        <v>101</v>
      </c>
      <c r="H160" s="64">
        <v>32.2</v>
      </c>
      <c r="I160" s="64">
        <v>6.11</v>
      </c>
      <c r="J160" s="64">
        <v>1.6</v>
      </c>
      <c r="K160" s="64" t="s">
        <v>39</v>
      </c>
      <c r="L160" s="64" t="s">
        <v>39</v>
      </c>
      <c r="M160" s="64" t="s">
        <v>39</v>
      </c>
      <c r="N160" s="19">
        <v>313</v>
      </c>
      <c r="O160" s="19">
        <v>504</v>
      </c>
      <c r="P160" s="19">
        <v>159</v>
      </c>
      <c r="Q160" s="19">
        <v>83.8</v>
      </c>
      <c r="R160" s="19">
        <v>570</v>
      </c>
      <c r="S160" s="64">
        <v>5.6</v>
      </c>
      <c r="T160" s="77">
        <v>60</v>
      </c>
      <c r="U160" s="64" t="s">
        <v>39</v>
      </c>
      <c r="V160" s="78">
        <v>0.7</v>
      </c>
      <c r="W160" s="64">
        <v>1.98</v>
      </c>
      <c r="X160" s="64">
        <v>2.06</v>
      </c>
      <c r="Y160" s="15">
        <f t="shared" si="14"/>
        <v>3.81875</v>
      </c>
      <c r="Z160" s="79">
        <f t="shared" si="15"/>
        <v>1.13095238095238</v>
      </c>
      <c r="AA160" s="79">
        <f t="shared" si="16"/>
        <v>121.230158730159</v>
      </c>
    </row>
    <row r="161" spans="1:27">
      <c r="A161" s="7" t="s">
        <v>153</v>
      </c>
      <c r="B161" s="7" t="s">
        <v>154</v>
      </c>
      <c r="C161" s="7" t="s">
        <v>155</v>
      </c>
      <c r="D161" s="7" t="s">
        <v>219</v>
      </c>
      <c r="E161" s="7" t="s">
        <v>76</v>
      </c>
      <c r="F161" s="7" t="s">
        <v>157</v>
      </c>
      <c r="G161" s="54"/>
      <c r="H161" s="7">
        <v>33.6</v>
      </c>
      <c r="I161" s="7">
        <v>6.09</v>
      </c>
      <c r="J161" s="7">
        <v>2.4</v>
      </c>
      <c r="K161" s="7" t="s">
        <v>39</v>
      </c>
      <c r="L161" s="7" t="s">
        <v>39</v>
      </c>
      <c r="M161" s="7" t="s">
        <v>39</v>
      </c>
      <c r="N161" s="13">
        <v>220</v>
      </c>
      <c r="O161" s="13">
        <v>354</v>
      </c>
      <c r="P161" s="13">
        <v>123</v>
      </c>
      <c r="Q161" s="13">
        <v>35.8</v>
      </c>
      <c r="R161" s="13">
        <v>187</v>
      </c>
      <c r="S161" s="7">
        <v>5.4</v>
      </c>
      <c r="T161" s="7" t="s">
        <v>39</v>
      </c>
      <c r="U161" s="7" t="s">
        <v>39</v>
      </c>
      <c r="V161" s="7" t="s">
        <v>39</v>
      </c>
      <c r="W161" s="7">
        <v>1.79</v>
      </c>
      <c r="X161" s="7">
        <v>1.43</v>
      </c>
      <c r="Y161" s="14">
        <f t="shared" si="14"/>
        <v>2.5375</v>
      </c>
      <c r="Z161" s="60">
        <f t="shared" si="15"/>
        <v>0.528248587570621</v>
      </c>
      <c r="AA161" s="60">
        <f t="shared" si="16"/>
        <v>172.033898305085</v>
      </c>
    </row>
    <row r="162" spans="1:27">
      <c r="A162" s="64" t="s">
        <v>153</v>
      </c>
      <c r="B162" s="64" t="s">
        <v>154</v>
      </c>
      <c r="C162" s="64" t="s">
        <v>155</v>
      </c>
      <c r="D162" s="64" t="s">
        <v>220</v>
      </c>
      <c r="E162" s="64" t="s">
        <v>76</v>
      </c>
      <c r="F162" s="64" t="s">
        <v>157</v>
      </c>
      <c r="G162" s="68" t="s">
        <v>101</v>
      </c>
      <c r="H162" s="64">
        <v>32.7</v>
      </c>
      <c r="I162" s="64">
        <v>5.94</v>
      </c>
      <c r="J162" s="64">
        <v>1.5</v>
      </c>
      <c r="K162" s="64" t="s">
        <v>39</v>
      </c>
      <c r="L162" s="64" t="s">
        <v>39</v>
      </c>
      <c r="M162" s="64" t="s">
        <v>39</v>
      </c>
      <c r="N162" s="19">
        <v>570</v>
      </c>
      <c r="O162" s="19">
        <v>537</v>
      </c>
      <c r="P162" s="19">
        <v>168</v>
      </c>
      <c r="Q162" s="19">
        <v>59.6</v>
      </c>
      <c r="R162" s="19">
        <v>579</v>
      </c>
      <c r="S162" s="64">
        <v>4.8</v>
      </c>
      <c r="T162" s="77">
        <v>76</v>
      </c>
      <c r="U162" s="64" t="s">
        <v>39</v>
      </c>
      <c r="V162" s="78" t="s">
        <v>80</v>
      </c>
      <c r="W162" s="64">
        <v>2.68</v>
      </c>
      <c r="X162" s="64">
        <v>3.39</v>
      </c>
      <c r="Y162" s="15">
        <f t="shared" si="14"/>
        <v>3.96</v>
      </c>
      <c r="Z162" s="79">
        <f t="shared" si="15"/>
        <v>1.07821229050279</v>
      </c>
      <c r="AA162" s="79">
        <f t="shared" si="16"/>
        <v>110.614525139665</v>
      </c>
    </row>
    <row r="163" spans="1:27">
      <c r="A163" s="64" t="s">
        <v>153</v>
      </c>
      <c r="B163" s="64" t="s">
        <v>154</v>
      </c>
      <c r="C163" s="64" t="s">
        <v>155</v>
      </c>
      <c r="D163" s="64" t="s">
        <v>221</v>
      </c>
      <c r="E163" s="64" t="s">
        <v>76</v>
      </c>
      <c r="F163" s="64" t="s">
        <v>157</v>
      </c>
      <c r="G163" s="68" t="s">
        <v>101</v>
      </c>
      <c r="H163" s="64">
        <v>31.5</v>
      </c>
      <c r="I163" s="64">
        <v>6.16</v>
      </c>
      <c r="J163" s="64">
        <v>2.36</v>
      </c>
      <c r="K163" s="64" t="s">
        <v>39</v>
      </c>
      <c r="L163" s="64" t="s">
        <v>39</v>
      </c>
      <c r="M163" s="64" t="s">
        <v>39</v>
      </c>
      <c r="N163" s="19">
        <v>520</v>
      </c>
      <c r="O163" s="19">
        <v>444</v>
      </c>
      <c r="P163" s="19">
        <v>191</v>
      </c>
      <c r="Q163" s="19">
        <v>12.8</v>
      </c>
      <c r="R163" s="19">
        <v>628</v>
      </c>
      <c r="S163" s="64">
        <v>3.6</v>
      </c>
      <c r="T163" s="77">
        <v>60</v>
      </c>
      <c r="U163" s="64" t="s">
        <v>39</v>
      </c>
      <c r="V163" s="78" t="s">
        <v>80</v>
      </c>
      <c r="W163" s="64">
        <v>1.75</v>
      </c>
      <c r="X163" s="64">
        <v>1.58</v>
      </c>
      <c r="Y163" s="15">
        <f t="shared" si="14"/>
        <v>2.61016949152542</v>
      </c>
      <c r="Z163" s="79">
        <f t="shared" si="15"/>
        <v>1.41441441441441</v>
      </c>
      <c r="AA163" s="79">
        <f t="shared" si="16"/>
        <v>138.738738738739</v>
      </c>
    </row>
    <row r="164" spans="1:27">
      <c r="A164" s="7" t="s">
        <v>153</v>
      </c>
      <c r="B164" s="7" t="s">
        <v>154</v>
      </c>
      <c r="C164" s="7" t="s">
        <v>155</v>
      </c>
      <c r="D164" s="7" t="s">
        <v>222</v>
      </c>
      <c r="E164" s="7" t="s">
        <v>76</v>
      </c>
      <c r="F164" s="7" t="s">
        <v>157</v>
      </c>
      <c r="G164" s="52"/>
      <c r="H164" s="7">
        <v>31.4</v>
      </c>
      <c r="I164" s="7">
        <v>5.95</v>
      </c>
      <c r="J164" s="7">
        <v>1.71</v>
      </c>
      <c r="K164" s="7" t="s">
        <v>39</v>
      </c>
      <c r="L164" s="7" t="s">
        <v>39</v>
      </c>
      <c r="M164" s="7" t="s">
        <v>39</v>
      </c>
      <c r="N164" s="13">
        <v>392</v>
      </c>
      <c r="O164" s="13">
        <v>420</v>
      </c>
      <c r="P164" s="13">
        <v>168</v>
      </c>
      <c r="Q164" s="13">
        <v>41.7</v>
      </c>
      <c r="R164" s="13">
        <v>467</v>
      </c>
      <c r="S164" s="7">
        <v>3.7</v>
      </c>
      <c r="T164" s="7" t="s">
        <v>39</v>
      </c>
      <c r="U164" s="7" t="s">
        <v>39</v>
      </c>
      <c r="V164" s="7" t="s">
        <v>39</v>
      </c>
      <c r="W164" s="7">
        <v>2.15</v>
      </c>
      <c r="X164" s="7">
        <v>1.7</v>
      </c>
      <c r="Y164" s="14">
        <f t="shared" si="14"/>
        <v>3.47953216374269</v>
      </c>
      <c r="Z164" s="60">
        <f t="shared" si="15"/>
        <v>1.11190476190476</v>
      </c>
      <c r="AA164" s="60">
        <f t="shared" si="16"/>
        <v>141.666666666667</v>
      </c>
    </row>
    <row r="165" spans="1:27">
      <c r="A165" s="64" t="s">
        <v>153</v>
      </c>
      <c r="B165" s="64" t="s">
        <v>154</v>
      </c>
      <c r="C165" s="64" t="s">
        <v>155</v>
      </c>
      <c r="D165" s="64" t="s">
        <v>223</v>
      </c>
      <c r="E165" s="64" t="s">
        <v>76</v>
      </c>
      <c r="F165" s="64" t="s">
        <v>157</v>
      </c>
      <c r="G165" s="68" t="s">
        <v>101</v>
      </c>
      <c r="H165" s="64">
        <v>29.7</v>
      </c>
      <c r="I165" s="64">
        <v>5.7</v>
      </c>
      <c r="J165" s="64">
        <v>2.12</v>
      </c>
      <c r="K165" s="64" t="s">
        <v>39</v>
      </c>
      <c r="L165" s="64" t="s">
        <v>39</v>
      </c>
      <c r="M165" s="64" t="s">
        <v>39</v>
      </c>
      <c r="N165" s="19">
        <v>604</v>
      </c>
      <c r="O165" s="19">
        <v>496</v>
      </c>
      <c r="P165" s="19">
        <v>202</v>
      </c>
      <c r="Q165" s="19">
        <v>11.6</v>
      </c>
      <c r="R165" s="19">
        <v>731</v>
      </c>
      <c r="S165" s="64">
        <v>3.5</v>
      </c>
      <c r="T165" s="77">
        <v>70</v>
      </c>
      <c r="U165" s="64" t="s">
        <v>39</v>
      </c>
      <c r="V165" s="78" t="s">
        <v>80</v>
      </c>
      <c r="W165" s="64">
        <v>2.46</v>
      </c>
      <c r="X165" s="64">
        <v>2.34</v>
      </c>
      <c r="Y165" s="15">
        <f t="shared" si="14"/>
        <v>2.68867924528302</v>
      </c>
      <c r="Z165" s="79">
        <f t="shared" si="15"/>
        <v>1.47379032258065</v>
      </c>
      <c r="AA165" s="79">
        <f t="shared" si="16"/>
        <v>114.91935483871</v>
      </c>
    </row>
    <row r="166" spans="1:27">
      <c r="A166" s="7" t="s">
        <v>153</v>
      </c>
      <c r="B166" s="7" t="s">
        <v>154</v>
      </c>
      <c r="C166" s="7" t="s">
        <v>155</v>
      </c>
      <c r="D166" s="7" t="s">
        <v>224</v>
      </c>
      <c r="E166" s="7" t="s">
        <v>76</v>
      </c>
      <c r="F166" s="7" t="s">
        <v>157</v>
      </c>
      <c r="G166" s="7"/>
      <c r="H166" s="7">
        <v>30.7</v>
      </c>
      <c r="I166" s="7">
        <v>6.92</v>
      </c>
      <c r="J166" s="7">
        <v>2.02</v>
      </c>
      <c r="K166" s="7" t="s">
        <v>39</v>
      </c>
      <c r="L166" s="7" t="s">
        <v>39</v>
      </c>
      <c r="M166" s="7" t="s">
        <v>39</v>
      </c>
      <c r="N166" s="13">
        <v>665</v>
      </c>
      <c r="O166" s="13">
        <v>503</v>
      </c>
      <c r="P166" s="13">
        <v>201</v>
      </c>
      <c r="Q166" s="13">
        <v>53.3</v>
      </c>
      <c r="R166" s="13">
        <v>676</v>
      </c>
      <c r="S166" s="7">
        <v>4.7</v>
      </c>
      <c r="T166" s="7" t="s">
        <v>39</v>
      </c>
      <c r="U166" s="7" t="s">
        <v>39</v>
      </c>
      <c r="V166" s="7" t="s">
        <v>39</v>
      </c>
      <c r="W166" s="7">
        <v>1.96</v>
      </c>
      <c r="X166" s="7">
        <v>0.88</v>
      </c>
      <c r="Y166" s="14">
        <f t="shared" si="14"/>
        <v>3.42574257425743</v>
      </c>
      <c r="Z166" s="60">
        <f t="shared" si="15"/>
        <v>1.34393638170974</v>
      </c>
      <c r="AA166" s="60">
        <f t="shared" si="16"/>
        <v>137.574552683897</v>
      </c>
    </row>
    <row r="167" spans="1:27">
      <c r="A167" s="7" t="s">
        <v>153</v>
      </c>
      <c r="B167" s="7" t="s">
        <v>154</v>
      </c>
      <c r="C167" s="7" t="s">
        <v>155</v>
      </c>
      <c r="D167" s="7" t="s">
        <v>225</v>
      </c>
      <c r="E167" s="7" t="s">
        <v>76</v>
      </c>
      <c r="F167" s="7" t="s">
        <v>157</v>
      </c>
      <c r="G167" s="7"/>
      <c r="H167" s="7">
        <v>34</v>
      </c>
      <c r="I167" s="7">
        <v>6.59</v>
      </c>
      <c r="J167" s="7">
        <v>1.1</v>
      </c>
      <c r="K167" s="7" t="s">
        <v>39</v>
      </c>
      <c r="L167" s="7" t="s">
        <v>39</v>
      </c>
      <c r="M167" s="7" t="s">
        <v>39</v>
      </c>
      <c r="N167" s="13">
        <v>404</v>
      </c>
      <c r="O167" s="13">
        <v>364</v>
      </c>
      <c r="P167" s="13">
        <v>161</v>
      </c>
      <c r="Q167" s="13">
        <v>30.3</v>
      </c>
      <c r="R167" s="13">
        <v>350</v>
      </c>
      <c r="S167" s="7">
        <v>9</v>
      </c>
      <c r="T167" s="7" t="s">
        <v>39</v>
      </c>
      <c r="U167" s="7" t="s">
        <v>39</v>
      </c>
      <c r="V167" s="7" t="s">
        <v>39</v>
      </c>
      <c r="W167" s="7">
        <v>2.38</v>
      </c>
      <c r="X167" s="7">
        <v>2.72</v>
      </c>
      <c r="Y167" s="14">
        <f t="shared" si="14"/>
        <v>5.99090909090909</v>
      </c>
      <c r="Z167" s="60">
        <f t="shared" si="15"/>
        <v>0.961538461538462</v>
      </c>
      <c r="AA167" s="60">
        <f t="shared" si="16"/>
        <v>181.043956043956</v>
      </c>
    </row>
    <row r="168" spans="1:27">
      <c r="A168" s="7" t="s">
        <v>153</v>
      </c>
      <c r="B168" s="7" t="s">
        <v>154</v>
      </c>
      <c r="C168" s="7" t="s">
        <v>155</v>
      </c>
      <c r="D168" s="7" t="s">
        <v>226</v>
      </c>
      <c r="E168" s="7" t="s">
        <v>134</v>
      </c>
      <c r="F168" s="7" t="s">
        <v>157</v>
      </c>
      <c r="G168" s="7"/>
      <c r="H168" s="7">
        <v>8.86</v>
      </c>
      <c r="I168" s="7">
        <v>1.67</v>
      </c>
      <c r="J168" s="7">
        <v>4</v>
      </c>
      <c r="K168" s="7" t="s">
        <v>39</v>
      </c>
      <c r="L168" s="7" t="s">
        <v>39</v>
      </c>
      <c r="M168" s="7" t="s">
        <v>39</v>
      </c>
      <c r="N168" s="13">
        <v>1.25</v>
      </c>
      <c r="O168" s="13">
        <v>1.73</v>
      </c>
      <c r="P168" s="13">
        <v>1.29</v>
      </c>
      <c r="Q168" s="13">
        <v>889</v>
      </c>
      <c r="R168" s="13">
        <v>304</v>
      </c>
      <c r="S168" s="7">
        <v>8.3</v>
      </c>
      <c r="T168" s="7" t="s">
        <v>39</v>
      </c>
      <c r="U168" s="7" t="s">
        <v>39</v>
      </c>
      <c r="V168" s="7" t="s">
        <v>39</v>
      </c>
      <c r="W168" s="7">
        <v>20.4</v>
      </c>
      <c r="X168" s="7">
        <v>7.06</v>
      </c>
      <c r="Y168" s="14">
        <f t="shared" si="14"/>
        <v>0.4175</v>
      </c>
      <c r="Z168" s="60">
        <f t="shared" si="15"/>
        <v>175.722543352601</v>
      </c>
      <c r="AA168" s="60">
        <f t="shared" si="16"/>
        <v>9653.17919075145</v>
      </c>
    </row>
    <row r="169" spans="1:27">
      <c r="A169" s="7" t="s">
        <v>153</v>
      </c>
      <c r="B169" s="7" t="s">
        <v>154</v>
      </c>
      <c r="C169" s="7" t="s">
        <v>155</v>
      </c>
      <c r="D169" s="7" t="s">
        <v>227</v>
      </c>
      <c r="E169" s="7" t="s">
        <v>134</v>
      </c>
      <c r="F169" s="7" t="s">
        <v>157</v>
      </c>
      <c r="G169" s="7"/>
      <c r="H169" s="7">
        <v>7.35</v>
      </c>
      <c r="I169" s="7">
        <v>1.39</v>
      </c>
      <c r="J169" s="7">
        <v>0.3</v>
      </c>
      <c r="K169" s="7" t="s">
        <v>39</v>
      </c>
      <c r="L169" s="7" t="s">
        <v>39</v>
      </c>
      <c r="M169" s="7" t="s">
        <v>39</v>
      </c>
      <c r="N169" s="13">
        <v>0.39</v>
      </c>
      <c r="O169" s="13">
        <v>1.52</v>
      </c>
      <c r="P169" s="13">
        <v>0.71</v>
      </c>
      <c r="Q169" s="13">
        <v>20.3</v>
      </c>
      <c r="R169" s="13">
        <v>461</v>
      </c>
      <c r="S169" s="7">
        <v>3.8</v>
      </c>
      <c r="T169" s="7" t="s">
        <v>39</v>
      </c>
      <c r="U169" s="7" t="s">
        <v>39</v>
      </c>
      <c r="V169" s="7" t="s">
        <v>39</v>
      </c>
      <c r="W169" s="7">
        <v>24.4</v>
      </c>
      <c r="X169" s="7">
        <v>5.52</v>
      </c>
      <c r="Y169" s="14">
        <f t="shared" si="14"/>
        <v>4.63333333333333</v>
      </c>
      <c r="Z169" s="60">
        <f t="shared" si="15"/>
        <v>303.289473684211</v>
      </c>
      <c r="AA169" s="60">
        <f t="shared" si="16"/>
        <v>9144.73684210526</v>
      </c>
    </row>
    <row r="170" spans="1:27">
      <c r="A170" s="7" t="s">
        <v>153</v>
      </c>
      <c r="B170" s="7" t="s">
        <v>154</v>
      </c>
      <c r="C170" s="7" t="s">
        <v>155</v>
      </c>
      <c r="D170" s="7" t="s">
        <v>228</v>
      </c>
      <c r="E170" s="7" t="s">
        <v>134</v>
      </c>
      <c r="F170" s="7" t="s">
        <v>157</v>
      </c>
      <c r="G170" s="7"/>
      <c r="H170" s="7">
        <v>9.24</v>
      </c>
      <c r="I170" s="7">
        <v>1.53</v>
      </c>
      <c r="J170" s="7">
        <v>0.3</v>
      </c>
      <c r="K170" s="7" t="s">
        <v>39</v>
      </c>
      <c r="L170" s="7" t="s">
        <v>39</v>
      </c>
      <c r="M170" s="7" t="s">
        <v>39</v>
      </c>
      <c r="N170" s="13">
        <v>0.69</v>
      </c>
      <c r="O170" s="13">
        <v>1.72</v>
      </c>
      <c r="P170" s="13">
        <v>0.72</v>
      </c>
      <c r="Q170" s="13">
        <v>90.3</v>
      </c>
      <c r="R170" s="13">
        <v>446</v>
      </c>
      <c r="S170" s="7">
        <v>4.8</v>
      </c>
      <c r="T170" s="7" t="s">
        <v>39</v>
      </c>
      <c r="U170" s="7" t="s">
        <v>39</v>
      </c>
      <c r="V170" s="7" t="s">
        <v>39</v>
      </c>
      <c r="W170" s="7">
        <v>13.3</v>
      </c>
      <c r="X170" s="7">
        <v>4</v>
      </c>
      <c r="Y170" s="14">
        <f t="shared" si="14"/>
        <v>5.1</v>
      </c>
      <c r="Z170" s="60">
        <f t="shared" si="15"/>
        <v>259.302325581395</v>
      </c>
      <c r="AA170" s="60">
        <f t="shared" si="16"/>
        <v>8895.3488372093</v>
      </c>
    </row>
    <row r="171" spans="1:27">
      <c r="A171" s="7" t="s">
        <v>153</v>
      </c>
      <c r="B171" s="7" t="s">
        <v>154</v>
      </c>
      <c r="C171" s="7" t="s">
        <v>155</v>
      </c>
      <c r="D171" s="7" t="s">
        <v>229</v>
      </c>
      <c r="E171" s="7" t="s">
        <v>134</v>
      </c>
      <c r="F171" s="7" t="s">
        <v>157</v>
      </c>
      <c r="G171" s="7"/>
      <c r="H171" s="7">
        <v>9.03</v>
      </c>
      <c r="I171" s="7">
        <v>4.46</v>
      </c>
      <c r="J171" s="7">
        <v>1.7</v>
      </c>
      <c r="K171" s="7" t="s">
        <v>39</v>
      </c>
      <c r="L171" s="7" t="s">
        <v>39</v>
      </c>
      <c r="M171" s="7" t="s">
        <v>39</v>
      </c>
      <c r="N171" s="13">
        <v>1.35</v>
      </c>
      <c r="O171" s="13">
        <v>1.95</v>
      </c>
      <c r="P171" s="13">
        <v>1.54</v>
      </c>
      <c r="Q171" s="13">
        <v>64.3</v>
      </c>
      <c r="R171" s="13">
        <v>731</v>
      </c>
      <c r="S171" s="7">
        <v>5.4</v>
      </c>
      <c r="T171" s="7" t="s">
        <v>39</v>
      </c>
      <c r="U171" s="7" t="s">
        <v>39</v>
      </c>
      <c r="V171" s="7" t="s">
        <v>39</v>
      </c>
      <c r="W171" s="7">
        <v>10.8</v>
      </c>
      <c r="X171" s="7">
        <v>6.18</v>
      </c>
      <c r="Y171" s="14">
        <f t="shared" si="14"/>
        <v>2.62352941176471</v>
      </c>
      <c r="Z171" s="60">
        <f t="shared" si="15"/>
        <v>374.871794871795</v>
      </c>
      <c r="AA171" s="60">
        <f t="shared" si="16"/>
        <v>22871.7948717949</v>
      </c>
    </row>
    <row r="172" spans="1:27">
      <c r="A172" s="7" t="s">
        <v>153</v>
      </c>
      <c r="B172" s="7" t="s">
        <v>154</v>
      </c>
      <c r="C172" s="7" t="s">
        <v>155</v>
      </c>
      <c r="D172" s="7" t="s">
        <v>230</v>
      </c>
      <c r="E172" s="7" t="s">
        <v>134</v>
      </c>
      <c r="F172" s="7" t="s">
        <v>157</v>
      </c>
      <c r="G172" s="7"/>
      <c r="H172" s="7">
        <v>8.68</v>
      </c>
      <c r="I172" s="7">
        <v>2.64</v>
      </c>
      <c r="J172" s="7">
        <v>0.6</v>
      </c>
      <c r="K172" s="7" t="s">
        <v>39</v>
      </c>
      <c r="L172" s="7" t="s">
        <v>39</v>
      </c>
      <c r="M172" s="7" t="s">
        <v>39</v>
      </c>
      <c r="N172" s="13">
        <v>0.76</v>
      </c>
      <c r="O172" s="13">
        <v>1.66</v>
      </c>
      <c r="P172" s="13">
        <v>1.53</v>
      </c>
      <c r="Q172" s="13">
        <v>144</v>
      </c>
      <c r="R172" s="13">
        <v>516</v>
      </c>
      <c r="S172" s="7">
        <v>7.3</v>
      </c>
      <c r="T172" s="7" t="s">
        <v>39</v>
      </c>
      <c r="U172" s="7" t="s">
        <v>39</v>
      </c>
      <c r="V172" s="7" t="s">
        <v>39</v>
      </c>
      <c r="W172" s="7">
        <v>7.43</v>
      </c>
      <c r="X172" s="7">
        <v>1.55</v>
      </c>
      <c r="Y172" s="14">
        <f t="shared" si="14"/>
        <v>4.4</v>
      </c>
      <c r="Z172" s="60">
        <f t="shared" si="15"/>
        <v>310.843373493976</v>
      </c>
      <c r="AA172" s="60">
        <f t="shared" si="16"/>
        <v>15903.6144578313</v>
      </c>
    </row>
    <row r="173" spans="1:27">
      <c r="A173" s="7" t="s">
        <v>153</v>
      </c>
      <c r="B173" s="7" t="s">
        <v>154</v>
      </c>
      <c r="C173" s="7" t="s">
        <v>155</v>
      </c>
      <c r="D173" s="7" t="s">
        <v>231</v>
      </c>
      <c r="E173" s="7" t="s">
        <v>134</v>
      </c>
      <c r="F173" s="7" t="s">
        <v>157</v>
      </c>
      <c r="G173" s="7"/>
      <c r="H173" s="7">
        <v>8.16</v>
      </c>
      <c r="I173" s="7">
        <v>2.88</v>
      </c>
      <c r="J173" s="7">
        <v>2.9</v>
      </c>
      <c r="K173" s="7" t="s">
        <v>39</v>
      </c>
      <c r="L173" s="7" t="s">
        <v>39</v>
      </c>
      <c r="M173" s="7" t="s">
        <v>39</v>
      </c>
      <c r="N173" s="13">
        <v>1.29</v>
      </c>
      <c r="O173" s="13">
        <v>2.26</v>
      </c>
      <c r="P173" s="13">
        <v>3.05</v>
      </c>
      <c r="Q173" s="13">
        <v>47</v>
      </c>
      <c r="R173" s="13">
        <v>331</v>
      </c>
      <c r="S173" s="7">
        <v>6.3</v>
      </c>
      <c r="T173" s="7" t="s">
        <v>39</v>
      </c>
      <c r="U173" s="7" t="s">
        <v>39</v>
      </c>
      <c r="V173" s="7" t="s">
        <v>39</v>
      </c>
      <c r="W173" s="7">
        <v>3.96</v>
      </c>
      <c r="X173" s="7">
        <v>2.41</v>
      </c>
      <c r="Y173" s="14">
        <f t="shared" si="14"/>
        <v>0.993103448275862</v>
      </c>
      <c r="Z173" s="60">
        <f t="shared" si="15"/>
        <v>146.46017699115</v>
      </c>
      <c r="AA173" s="60">
        <f t="shared" si="16"/>
        <v>12743.3628318584</v>
      </c>
    </row>
    <row r="174" spans="1:27">
      <c r="A174" s="7" t="s">
        <v>153</v>
      </c>
      <c r="B174" s="7" t="s">
        <v>154</v>
      </c>
      <c r="C174" s="7" t="s">
        <v>155</v>
      </c>
      <c r="D174" s="7" t="s">
        <v>232</v>
      </c>
      <c r="E174" s="7" t="s">
        <v>134</v>
      </c>
      <c r="F174" s="7" t="s">
        <v>157</v>
      </c>
      <c r="G174" s="7"/>
      <c r="H174" s="7">
        <v>6.13</v>
      </c>
      <c r="I174" s="7">
        <v>0.56</v>
      </c>
      <c r="J174" s="7">
        <v>0.5</v>
      </c>
      <c r="K174" s="7" t="s">
        <v>39</v>
      </c>
      <c r="L174" s="7" t="s">
        <v>39</v>
      </c>
      <c r="M174" s="7" t="s">
        <v>39</v>
      </c>
      <c r="N174" s="13">
        <v>2.13</v>
      </c>
      <c r="O174" s="13">
        <v>1.83</v>
      </c>
      <c r="P174" s="13">
        <v>1.17</v>
      </c>
      <c r="Q174" s="13">
        <v>70.1</v>
      </c>
      <c r="R174" s="13">
        <v>172</v>
      </c>
      <c r="S174" s="7">
        <v>5.2</v>
      </c>
      <c r="T174" s="7" t="s">
        <v>39</v>
      </c>
      <c r="U174" s="7" t="s">
        <v>39</v>
      </c>
      <c r="V174" s="7" t="s">
        <v>39</v>
      </c>
      <c r="W174" s="7">
        <v>3.36</v>
      </c>
      <c r="X174" s="7">
        <v>1.59</v>
      </c>
      <c r="Y174" s="14">
        <f t="shared" si="14"/>
        <v>1.12</v>
      </c>
      <c r="Z174" s="60">
        <f t="shared" si="15"/>
        <v>93.9890710382514</v>
      </c>
      <c r="AA174" s="60">
        <f t="shared" si="16"/>
        <v>3060.10928961749</v>
      </c>
    </row>
    <row r="175" spans="1:27">
      <c r="A175" s="7" t="s">
        <v>153</v>
      </c>
      <c r="B175" s="7" t="s">
        <v>154</v>
      </c>
      <c r="C175" s="7" t="s">
        <v>155</v>
      </c>
      <c r="D175" s="7" t="s">
        <v>233</v>
      </c>
      <c r="E175" s="7" t="s">
        <v>134</v>
      </c>
      <c r="F175" s="7" t="s">
        <v>157</v>
      </c>
      <c r="G175" s="7"/>
      <c r="H175" s="7">
        <v>5.89</v>
      </c>
      <c r="I175" s="7">
        <v>1.45</v>
      </c>
      <c r="J175" s="7">
        <v>0.4</v>
      </c>
      <c r="K175" s="7" t="s">
        <v>39</v>
      </c>
      <c r="L175" s="7" t="s">
        <v>39</v>
      </c>
      <c r="M175" s="7" t="s">
        <v>39</v>
      </c>
      <c r="N175" s="13">
        <v>0.69</v>
      </c>
      <c r="O175" s="13">
        <v>1.91</v>
      </c>
      <c r="P175" s="13">
        <v>1.23</v>
      </c>
      <c r="Q175" s="13">
        <v>1758</v>
      </c>
      <c r="R175" s="13">
        <v>349</v>
      </c>
      <c r="S175" s="7">
        <v>6.6</v>
      </c>
      <c r="T175" s="7" t="s">
        <v>39</v>
      </c>
      <c r="U175" s="7" t="s">
        <v>39</v>
      </c>
      <c r="V175" s="7" t="s">
        <v>39</v>
      </c>
      <c r="W175" s="7">
        <v>11.8</v>
      </c>
      <c r="X175" s="7">
        <v>7.73</v>
      </c>
      <c r="Y175" s="14">
        <f t="shared" si="14"/>
        <v>3.625</v>
      </c>
      <c r="Z175" s="60">
        <f t="shared" si="15"/>
        <v>182.722513089005</v>
      </c>
      <c r="AA175" s="60">
        <f t="shared" si="16"/>
        <v>7591.62303664921</v>
      </c>
    </row>
    <row r="176" spans="1:27">
      <c r="A176" s="7" t="s">
        <v>153</v>
      </c>
      <c r="B176" s="7" t="s">
        <v>154</v>
      </c>
      <c r="C176" s="7" t="s">
        <v>155</v>
      </c>
      <c r="D176" s="7" t="s">
        <v>234</v>
      </c>
      <c r="E176" s="7" t="s">
        <v>134</v>
      </c>
      <c r="F176" s="7" t="s">
        <v>157</v>
      </c>
      <c r="G176" s="7"/>
      <c r="H176" s="7">
        <v>5.35</v>
      </c>
      <c r="I176" s="7">
        <v>1.93</v>
      </c>
      <c r="J176" s="7">
        <v>3.3</v>
      </c>
      <c r="K176" s="7" t="s">
        <v>39</v>
      </c>
      <c r="L176" s="7" t="s">
        <v>39</v>
      </c>
      <c r="M176" s="7" t="s">
        <v>39</v>
      </c>
      <c r="N176" s="13">
        <v>2.11</v>
      </c>
      <c r="O176" s="13">
        <v>2.72</v>
      </c>
      <c r="P176" s="13">
        <v>3.44</v>
      </c>
      <c r="Q176" s="13">
        <v>165.2</v>
      </c>
      <c r="R176" s="13">
        <v>288</v>
      </c>
      <c r="S176" s="7">
        <v>5.5</v>
      </c>
      <c r="T176" s="7" t="s">
        <v>39</v>
      </c>
      <c r="U176" s="7" t="s">
        <v>39</v>
      </c>
      <c r="V176" s="7" t="s">
        <v>39</v>
      </c>
      <c r="W176" s="7">
        <v>2.79</v>
      </c>
      <c r="X176" s="7">
        <v>1.87</v>
      </c>
      <c r="Y176" s="14">
        <f t="shared" si="14"/>
        <v>0.584848484848485</v>
      </c>
      <c r="Z176" s="60">
        <f t="shared" si="15"/>
        <v>105.882352941176</v>
      </c>
      <c r="AA176" s="60">
        <f t="shared" si="16"/>
        <v>7095.58823529412</v>
      </c>
    </row>
    <row r="177" spans="1:27">
      <c r="A177" s="7" t="s">
        <v>153</v>
      </c>
      <c r="B177" s="7" t="s">
        <v>154</v>
      </c>
      <c r="C177" s="7" t="s">
        <v>155</v>
      </c>
      <c r="D177" s="7" t="s">
        <v>235</v>
      </c>
      <c r="E177" s="7" t="s">
        <v>134</v>
      </c>
      <c r="F177" s="7" t="s">
        <v>157</v>
      </c>
      <c r="G177" s="7"/>
      <c r="H177" s="7">
        <v>6.04</v>
      </c>
      <c r="I177" s="7">
        <v>1.72</v>
      </c>
      <c r="J177" s="7">
        <v>1.4</v>
      </c>
      <c r="K177" s="7" t="s">
        <v>39</v>
      </c>
      <c r="L177" s="7" t="s">
        <v>39</v>
      </c>
      <c r="M177" s="7" t="s">
        <v>39</v>
      </c>
      <c r="N177" s="13">
        <v>2.31</v>
      </c>
      <c r="O177" s="13">
        <v>3.51</v>
      </c>
      <c r="P177" s="13">
        <v>5.08</v>
      </c>
      <c r="Q177" s="13">
        <v>118</v>
      </c>
      <c r="R177" s="13">
        <v>131</v>
      </c>
      <c r="S177" s="7">
        <v>5.1</v>
      </c>
      <c r="T177" s="7" t="s">
        <v>39</v>
      </c>
      <c r="U177" s="7" t="s">
        <v>39</v>
      </c>
      <c r="V177" s="7" t="s">
        <v>39</v>
      </c>
      <c r="W177" s="7">
        <v>2.35</v>
      </c>
      <c r="X177" s="7">
        <v>1.59</v>
      </c>
      <c r="Y177" s="14">
        <f t="shared" si="14"/>
        <v>1.22857142857143</v>
      </c>
      <c r="Z177" s="60">
        <f t="shared" si="15"/>
        <v>37.3219373219373</v>
      </c>
      <c r="AA177" s="60">
        <f t="shared" si="16"/>
        <v>4900.2849002849</v>
      </c>
    </row>
    <row r="178" spans="1:27">
      <c r="A178" s="7" t="s">
        <v>153</v>
      </c>
      <c r="B178" s="7" t="s">
        <v>154</v>
      </c>
      <c r="C178" s="7" t="s">
        <v>155</v>
      </c>
      <c r="D178" s="7" t="s">
        <v>236</v>
      </c>
      <c r="E178" s="7" t="s">
        <v>134</v>
      </c>
      <c r="F178" s="7" t="s">
        <v>157</v>
      </c>
      <c r="G178" s="7"/>
      <c r="H178" s="7">
        <v>5.79</v>
      </c>
      <c r="I178" s="7">
        <v>2.59</v>
      </c>
      <c r="J178" s="7">
        <v>2.2</v>
      </c>
      <c r="K178" s="7" t="s">
        <v>39</v>
      </c>
      <c r="L178" s="7" t="s">
        <v>39</v>
      </c>
      <c r="M178" s="7" t="s">
        <v>39</v>
      </c>
      <c r="N178" s="13">
        <v>2.09</v>
      </c>
      <c r="O178" s="13">
        <v>2</v>
      </c>
      <c r="P178" s="13">
        <v>2.88</v>
      </c>
      <c r="Q178" s="13">
        <v>103</v>
      </c>
      <c r="R178" s="13">
        <v>329</v>
      </c>
      <c r="S178" s="7">
        <v>5.1</v>
      </c>
      <c r="T178" s="7" t="s">
        <v>39</v>
      </c>
      <c r="U178" s="7" t="s">
        <v>39</v>
      </c>
      <c r="V178" s="7" t="s">
        <v>39</v>
      </c>
      <c r="W178" s="7">
        <v>5.14</v>
      </c>
      <c r="X178" s="7">
        <v>1.87</v>
      </c>
      <c r="Y178" s="14">
        <f t="shared" si="14"/>
        <v>1.17727272727273</v>
      </c>
      <c r="Z178" s="60">
        <f t="shared" si="15"/>
        <v>164.5</v>
      </c>
      <c r="AA178" s="60">
        <f t="shared" si="16"/>
        <v>12950</v>
      </c>
    </row>
    <row r="179" spans="1:27">
      <c r="A179" s="7" t="s">
        <v>153</v>
      </c>
      <c r="B179" s="7" t="s">
        <v>154</v>
      </c>
      <c r="C179" s="7" t="s">
        <v>155</v>
      </c>
      <c r="D179" s="7" t="s">
        <v>237</v>
      </c>
      <c r="E179" s="7" t="s">
        <v>134</v>
      </c>
      <c r="F179" s="7" t="s">
        <v>157</v>
      </c>
      <c r="G179" s="7"/>
      <c r="H179" s="7">
        <v>8.99</v>
      </c>
      <c r="I179" s="7">
        <v>2.58</v>
      </c>
      <c r="J179" s="7">
        <v>1.1</v>
      </c>
      <c r="K179" s="7" t="s">
        <v>39</v>
      </c>
      <c r="L179" s="7" t="s">
        <v>39</v>
      </c>
      <c r="M179" s="7" t="s">
        <v>39</v>
      </c>
      <c r="N179" s="13">
        <v>4.01</v>
      </c>
      <c r="O179" s="13">
        <v>2.34</v>
      </c>
      <c r="P179" s="13">
        <v>4.06</v>
      </c>
      <c r="Q179" s="13">
        <v>62.1</v>
      </c>
      <c r="R179" s="13">
        <v>885</v>
      </c>
      <c r="S179" s="7">
        <v>8.5</v>
      </c>
      <c r="T179" s="7" t="s">
        <v>39</v>
      </c>
      <c r="U179" s="7" t="s">
        <v>39</v>
      </c>
      <c r="V179" s="7" t="s">
        <v>39</v>
      </c>
      <c r="W179" s="7">
        <v>9.6</v>
      </c>
      <c r="X179" s="7">
        <v>1.95</v>
      </c>
      <c r="Y179" s="14">
        <f t="shared" si="14"/>
        <v>2.34545454545455</v>
      </c>
      <c r="Z179" s="60">
        <f t="shared" si="15"/>
        <v>378.205128205128</v>
      </c>
      <c r="AA179" s="60">
        <f t="shared" si="16"/>
        <v>11025.641025641</v>
      </c>
    </row>
    <row r="180" spans="1:27">
      <c r="A180" s="7" t="s">
        <v>153</v>
      </c>
      <c r="B180" s="7" t="s">
        <v>154</v>
      </c>
      <c r="C180" s="7" t="s">
        <v>155</v>
      </c>
      <c r="D180" s="7" t="s">
        <v>238</v>
      </c>
      <c r="E180" s="7" t="s">
        <v>134</v>
      </c>
      <c r="F180" s="7" t="s">
        <v>157</v>
      </c>
      <c r="G180" s="7"/>
      <c r="H180" s="7">
        <v>10.7</v>
      </c>
      <c r="I180" s="7">
        <v>2.64</v>
      </c>
      <c r="J180" s="7">
        <v>0.8</v>
      </c>
      <c r="K180" s="7" t="s">
        <v>39</v>
      </c>
      <c r="L180" s="7" t="s">
        <v>39</v>
      </c>
      <c r="M180" s="7" t="s">
        <v>39</v>
      </c>
      <c r="N180" s="13">
        <v>1.6</v>
      </c>
      <c r="O180" s="13">
        <v>1.89</v>
      </c>
      <c r="P180" s="13">
        <v>2.12</v>
      </c>
      <c r="Q180" s="13">
        <v>12.7</v>
      </c>
      <c r="R180" s="13">
        <v>401</v>
      </c>
      <c r="S180" s="7">
        <v>5.4</v>
      </c>
      <c r="T180" s="7" t="s">
        <v>39</v>
      </c>
      <c r="U180" s="7" t="s">
        <v>39</v>
      </c>
      <c r="V180" s="7" t="s">
        <v>39</v>
      </c>
      <c r="W180" s="7">
        <v>6.44</v>
      </c>
      <c r="X180" s="7">
        <v>4.19</v>
      </c>
      <c r="Y180" s="14">
        <f t="shared" si="14"/>
        <v>3.3</v>
      </c>
      <c r="Z180" s="60">
        <f t="shared" si="15"/>
        <v>212.169312169312</v>
      </c>
      <c r="AA180" s="60">
        <f t="shared" si="16"/>
        <v>13968.253968254</v>
      </c>
    </row>
    <row r="181" s="48" customFormat="1" spans="1:27">
      <c r="A181" s="69" t="s">
        <v>153</v>
      </c>
      <c r="B181" s="69" t="s">
        <v>154</v>
      </c>
      <c r="C181" s="69" t="s">
        <v>155</v>
      </c>
      <c r="D181" s="69" t="s">
        <v>239</v>
      </c>
      <c r="E181" s="69" t="s">
        <v>134</v>
      </c>
      <c r="F181" s="69" t="s">
        <v>195</v>
      </c>
      <c r="G181" s="70"/>
      <c r="H181" s="69">
        <v>5.73</v>
      </c>
      <c r="I181" s="69">
        <v>1.31</v>
      </c>
      <c r="J181" s="69">
        <v>1.54</v>
      </c>
      <c r="K181" s="69">
        <v>312</v>
      </c>
      <c r="L181" s="69" t="s">
        <v>39</v>
      </c>
      <c r="M181" s="69" t="s">
        <v>39</v>
      </c>
      <c r="N181" s="75">
        <v>1.1</v>
      </c>
      <c r="O181" s="75">
        <v>2</v>
      </c>
      <c r="P181" s="75">
        <v>10.1</v>
      </c>
      <c r="Q181" s="75">
        <v>8774</v>
      </c>
      <c r="R181" s="75">
        <v>1093</v>
      </c>
      <c r="S181" s="69">
        <v>2.6</v>
      </c>
      <c r="T181" s="69" t="s">
        <v>39</v>
      </c>
      <c r="U181" s="69" t="s">
        <v>39</v>
      </c>
      <c r="V181" s="69">
        <v>0.14</v>
      </c>
      <c r="W181" s="69" t="s">
        <v>39</v>
      </c>
      <c r="X181" s="69">
        <v>18</v>
      </c>
      <c r="Y181" s="82">
        <f t="shared" si="14"/>
        <v>0.850649350649351</v>
      </c>
      <c r="Z181" s="83">
        <f t="shared" si="15"/>
        <v>546.5</v>
      </c>
      <c r="AA181" s="83">
        <f t="shared" si="16"/>
        <v>6550</v>
      </c>
    </row>
    <row r="182" s="48" customFormat="1" spans="1:27">
      <c r="A182" s="69" t="s">
        <v>153</v>
      </c>
      <c r="B182" s="69" t="s">
        <v>154</v>
      </c>
      <c r="C182" s="69" t="s">
        <v>155</v>
      </c>
      <c r="D182" s="69" t="s">
        <v>240</v>
      </c>
      <c r="E182" s="69" t="s">
        <v>134</v>
      </c>
      <c r="F182" s="69" t="s">
        <v>195</v>
      </c>
      <c r="G182" s="70"/>
      <c r="H182" s="69">
        <v>7.95</v>
      </c>
      <c r="I182" s="69">
        <v>1.33</v>
      </c>
      <c r="J182" s="69">
        <v>5.57</v>
      </c>
      <c r="K182" s="69">
        <v>260</v>
      </c>
      <c r="L182" s="69" t="s">
        <v>39</v>
      </c>
      <c r="M182" s="69" t="s">
        <v>39</v>
      </c>
      <c r="N182" s="75">
        <v>1</v>
      </c>
      <c r="O182" s="75">
        <v>4.5</v>
      </c>
      <c r="P182" s="75">
        <v>6.5</v>
      </c>
      <c r="Q182" s="75">
        <v>50440</v>
      </c>
      <c r="R182" s="75">
        <v>1142</v>
      </c>
      <c r="S182" s="69">
        <v>3.8</v>
      </c>
      <c r="T182" s="69">
        <v>86.2</v>
      </c>
      <c r="U182" s="69" t="s">
        <v>39</v>
      </c>
      <c r="V182" s="69">
        <v>0.18</v>
      </c>
      <c r="W182" s="69">
        <v>63.2</v>
      </c>
      <c r="X182" s="69">
        <v>22.8</v>
      </c>
      <c r="Y182" s="82">
        <f t="shared" si="14"/>
        <v>0.238779174147217</v>
      </c>
      <c r="Z182" s="83">
        <f t="shared" si="15"/>
        <v>253.777777777778</v>
      </c>
      <c r="AA182" s="83">
        <f t="shared" si="16"/>
        <v>2955.55555555556</v>
      </c>
    </row>
    <row r="183" s="48" customFormat="1" spans="1:27">
      <c r="A183" s="69" t="s">
        <v>153</v>
      </c>
      <c r="B183" s="69" t="s">
        <v>154</v>
      </c>
      <c r="C183" s="69" t="s">
        <v>155</v>
      </c>
      <c r="D183" s="69" t="s">
        <v>241</v>
      </c>
      <c r="E183" s="69" t="s">
        <v>134</v>
      </c>
      <c r="F183" s="69" t="s">
        <v>195</v>
      </c>
      <c r="G183" s="70"/>
      <c r="H183" s="69">
        <v>8.07</v>
      </c>
      <c r="I183" s="69">
        <v>0.66</v>
      </c>
      <c r="J183" s="69">
        <v>5.5</v>
      </c>
      <c r="K183" s="69">
        <v>190</v>
      </c>
      <c r="L183" s="69" t="s">
        <v>39</v>
      </c>
      <c r="M183" s="69" t="s">
        <v>39</v>
      </c>
      <c r="N183" s="75">
        <v>0.2</v>
      </c>
      <c r="O183" s="75">
        <v>0.1</v>
      </c>
      <c r="P183" s="75">
        <v>44.9</v>
      </c>
      <c r="Q183" s="75">
        <v>68067</v>
      </c>
      <c r="R183" s="75">
        <v>1776</v>
      </c>
      <c r="S183" s="69">
        <v>5.7</v>
      </c>
      <c r="T183" s="69">
        <v>95.4</v>
      </c>
      <c r="U183" s="69" t="s">
        <v>39</v>
      </c>
      <c r="V183" s="69">
        <v>0.15</v>
      </c>
      <c r="W183" s="69">
        <v>124</v>
      </c>
      <c r="X183" s="69">
        <v>37.7</v>
      </c>
      <c r="Y183" s="82">
        <f t="shared" si="14"/>
        <v>0.12</v>
      </c>
      <c r="Z183" s="83">
        <f t="shared" si="15"/>
        <v>17760</v>
      </c>
      <c r="AA183" s="83">
        <f t="shared" si="16"/>
        <v>66000</v>
      </c>
    </row>
    <row r="184" s="48" customFormat="1" spans="1:27">
      <c r="A184" s="69" t="s">
        <v>153</v>
      </c>
      <c r="B184" s="69" t="s">
        <v>154</v>
      </c>
      <c r="C184" s="69" t="s">
        <v>155</v>
      </c>
      <c r="D184" s="69" t="s">
        <v>242</v>
      </c>
      <c r="E184" s="69" t="s">
        <v>134</v>
      </c>
      <c r="F184" s="69" t="s">
        <v>195</v>
      </c>
      <c r="G184" s="70"/>
      <c r="H184" s="69">
        <v>6.94</v>
      </c>
      <c r="I184" s="69">
        <v>2.3</v>
      </c>
      <c r="J184" s="69">
        <v>2.9</v>
      </c>
      <c r="K184" s="69">
        <v>310</v>
      </c>
      <c r="L184" s="69" t="s">
        <v>39</v>
      </c>
      <c r="M184" s="69" t="s">
        <v>39</v>
      </c>
      <c r="N184" s="75">
        <v>0.4</v>
      </c>
      <c r="O184" s="75">
        <v>0.9</v>
      </c>
      <c r="P184" s="75">
        <v>1.5</v>
      </c>
      <c r="Q184" s="75">
        <v>14103</v>
      </c>
      <c r="R184" s="75">
        <v>1392</v>
      </c>
      <c r="S184" s="69">
        <v>9.9</v>
      </c>
      <c r="T184" s="69">
        <v>70.4</v>
      </c>
      <c r="U184" s="69" t="s">
        <v>39</v>
      </c>
      <c r="V184" s="69">
        <v>0.17</v>
      </c>
      <c r="W184" s="69">
        <v>62</v>
      </c>
      <c r="X184" s="69">
        <v>35.6</v>
      </c>
      <c r="Y184" s="82">
        <f t="shared" si="14"/>
        <v>0.793103448275862</v>
      </c>
      <c r="Z184" s="83">
        <f t="shared" si="15"/>
        <v>1546.66666666667</v>
      </c>
      <c r="AA184" s="83">
        <f t="shared" si="16"/>
        <v>25555.5555555556</v>
      </c>
    </row>
    <row r="185" s="48" customFormat="1" ht="15" spans="1:27">
      <c r="A185" s="71" t="s">
        <v>153</v>
      </c>
      <c r="B185" s="71" t="s">
        <v>154</v>
      </c>
      <c r="C185" s="71" t="s">
        <v>155</v>
      </c>
      <c r="D185" s="71" t="s">
        <v>243</v>
      </c>
      <c r="E185" s="71" t="s">
        <v>134</v>
      </c>
      <c r="F185" s="71" t="s">
        <v>195</v>
      </c>
      <c r="G185" s="72"/>
      <c r="H185" s="71">
        <v>5.64</v>
      </c>
      <c r="I185" s="71">
        <v>1.1</v>
      </c>
      <c r="J185" s="71">
        <v>3.27</v>
      </c>
      <c r="K185" s="71">
        <v>210</v>
      </c>
      <c r="L185" s="71" t="s">
        <v>39</v>
      </c>
      <c r="M185" s="71" t="s">
        <v>39</v>
      </c>
      <c r="N185" s="76">
        <v>0.5</v>
      </c>
      <c r="O185" s="76">
        <v>0.4</v>
      </c>
      <c r="P185" s="76">
        <v>4.1</v>
      </c>
      <c r="Q185" s="76">
        <v>3974</v>
      </c>
      <c r="R185" s="76">
        <v>583</v>
      </c>
      <c r="S185" s="71">
        <v>4.9</v>
      </c>
      <c r="T185" s="71">
        <v>43.6</v>
      </c>
      <c r="U185" s="71" t="s">
        <v>39</v>
      </c>
      <c r="V185" s="71">
        <v>0.13</v>
      </c>
      <c r="W185" s="71">
        <v>22.1</v>
      </c>
      <c r="X185" s="71">
        <v>11.1</v>
      </c>
      <c r="Y185" s="84">
        <f t="shared" si="14"/>
        <v>0.336391437308869</v>
      </c>
      <c r="Z185" s="85">
        <f t="shared" si="15"/>
        <v>1457.5</v>
      </c>
      <c r="AA185" s="85">
        <f t="shared" si="16"/>
        <v>27500</v>
      </c>
    </row>
    <row r="186" spans="1:1">
      <c r="A186" s="1" t="s">
        <v>244</v>
      </c>
    </row>
    <row r="188" spans="1:1">
      <c r="A188" s="73" t="s">
        <v>245</v>
      </c>
    </row>
    <row r="189" spans="1:1">
      <c r="A189" s="1" t="s">
        <v>246</v>
      </c>
    </row>
    <row r="190" spans="1:1">
      <c r="A190" s="1" t="s">
        <v>247</v>
      </c>
    </row>
    <row r="191" spans="1:1">
      <c r="A191" s="1" t="s">
        <v>248</v>
      </c>
    </row>
    <row r="192" spans="1:2">
      <c r="A192" t="s">
        <v>12</v>
      </c>
      <c r="B192" t="s">
        <v>25</v>
      </c>
    </row>
    <row r="193" spans="1:2">
      <c r="A193">
        <v>10</v>
      </c>
      <c r="B193">
        <v>0.003</v>
      </c>
    </row>
    <row r="194" spans="1:2">
      <c r="A194">
        <v>100</v>
      </c>
      <c r="B194">
        <v>0.03</v>
      </c>
    </row>
    <row r="195" spans="1:2">
      <c r="A195">
        <v>1000</v>
      </c>
      <c r="B195">
        <v>0.3</v>
      </c>
    </row>
    <row r="196" spans="1:2">
      <c r="A196">
        <v>10000</v>
      </c>
      <c r="B196">
        <v>3</v>
      </c>
    </row>
    <row r="197" spans="1:2">
      <c r="A197">
        <v>100000</v>
      </c>
      <c r="B197">
        <v>30</v>
      </c>
    </row>
    <row r="198" spans="1:2">
      <c r="A198" t="s">
        <v>19</v>
      </c>
      <c r="B198" t="s">
        <v>25</v>
      </c>
    </row>
    <row r="199" spans="1:2">
      <c r="A199">
        <v>0.0825</v>
      </c>
      <c r="B199">
        <v>0.1</v>
      </c>
    </row>
    <row r="200" spans="1:2">
      <c r="A200">
        <v>0.825</v>
      </c>
      <c r="B200">
        <v>1</v>
      </c>
    </row>
    <row r="201" spans="1:2">
      <c r="A201">
        <v>8.25</v>
      </c>
      <c r="B201">
        <v>10</v>
      </c>
    </row>
    <row r="202" spans="1:2">
      <c r="A202">
        <v>82.5</v>
      </c>
      <c r="B202">
        <v>100</v>
      </c>
    </row>
    <row r="203" spans="1:2">
      <c r="A203">
        <v>825</v>
      </c>
      <c r="B203">
        <v>1000</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6"/>
  <sheetViews>
    <sheetView zoomScale="85" zoomScaleNormal="85" workbookViewId="0">
      <pane xSplit="5" ySplit="6" topLeftCell="F7" activePane="bottomRight" state="frozen"/>
      <selection/>
      <selection pane="topRight"/>
      <selection pane="bottomLeft"/>
      <selection pane="bottomRight" activeCell="O37" sqref="O37"/>
    </sheetView>
  </sheetViews>
  <sheetFormatPr defaultColWidth="9" defaultRowHeight="14.25"/>
  <cols>
    <col min="4" max="4" width="11.75" customWidth="1"/>
  </cols>
  <sheetData>
    <row r="1" ht="15.75" spans="1:1">
      <c r="A1" s="2" t="s">
        <v>0</v>
      </c>
    </row>
    <row r="2" ht="15.75" spans="1:1">
      <c r="A2" s="2" t="s">
        <v>1</v>
      </c>
    </row>
    <row r="3" ht="15" spans="1:26">
      <c r="A3" s="3" t="s">
        <v>249</v>
      </c>
      <c r="D3" s="4"/>
      <c r="E3" s="4"/>
      <c r="F3" s="4"/>
      <c r="G3" s="4"/>
      <c r="H3" s="4"/>
      <c r="I3" s="4"/>
      <c r="J3" s="4"/>
      <c r="K3" s="4"/>
      <c r="L3" s="4"/>
      <c r="M3" s="4"/>
      <c r="N3" s="4"/>
      <c r="O3" s="4"/>
      <c r="P3" s="4"/>
      <c r="Q3" s="4"/>
      <c r="R3" s="4"/>
      <c r="S3" s="4"/>
      <c r="T3" s="4"/>
      <c r="U3" s="4"/>
      <c r="V3" s="4"/>
      <c r="W3" s="4"/>
      <c r="X3" s="4"/>
      <c r="Y3" s="4"/>
      <c r="Z3" s="4"/>
    </row>
    <row r="4" s="1" customFormat="1" customHeight="1" spans="1:26">
      <c r="A4" s="5" t="s">
        <v>3</v>
      </c>
      <c r="B4" s="6" t="s">
        <v>250</v>
      </c>
      <c r="C4" s="6" t="s">
        <v>7</v>
      </c>
      <c r="D4" s="7" t="s">
        <v>251</v>
      </c>
      <c r="E4" s="7" t="s">
        <v>252</v>
      </c>
      <c r="F4" s="7" t="s">
        <v>253</v>
      </c>
      <c r="G4" s="7" t="s">
        <v>254</v>
      </c>
      <c r="H4" s="7" t="s">
        <v>255</v>
      </c>
      <c r="I4" s="7" t="s">
        <v>256</v>
      </c>
      <c r="J4" s="7" t="s">
        <v>257</v>
      </c>
      <c r="K4" s="7" t="s">
        <v>258</v>
      </c>
      <c r="L4" s="7" t="s">
        <v>259</v>
      </c>
      <c r="M4" s="7" t="s">
        <v>17</v>
      </c>
      <c r="N4" s="7" t="s">
        <v>260</v>
      </c>
      <c r="O4" s="7" t="s">
        <v>261</v>
      </c>
      <c r="P4" s="7" t="s">
        <v>20</v>
      </c>
      <c r="Q4" s="20" t="s">
        <v>262</v>
      </c>
      <c r="R4" s="20" t="s">
        <v>263</v>
      </c>
      <c r="S4" s="20" t="s">
        <v>264</v>
      </c>
      <c r="T4" s="20" t="s">
        <v>265</v>
      </c>
      <c r="U4" s="7" t="s">
        <v>266</v>
      </c>
      <c r="V4" s="20" t="s">
        <v>267</v>
      </c>
      <c r="W4" s="20" t="s">
        <v>268</v>
      </c>
      <c r="X4" s="20" t="s">
        <v>269</v>
      </c>
      <c r="Y4" s="20" t="s">
        <v>270</v>
      </c>
      <c r="Z4" s="20" t="s">
        <v>271</v>
      </c>
    </row>
    <row r="5" s="1" customFormat="1" ht="12.75" spans="1:26">
      <c r="A5" s="7"/>
      <c r="B5" s="8"/>
      <c r="C5" s="8"/>
      <c r="D5" s="7"/>
      <c r="E5" s="7"/>
      <c r="F5" s="7" t="s">
        <v>31</v>
      </c>
      <c r="G5" s="7" t="s">
        <v>31</v>
      </c>
      <c r="H5" s="7" t="s">
        <v>31</v>
      </c>
      <c r="I5" s="7" t="s">
        <v>31</v>
      </c>
      <c r="J5" s="7" t="s">
        <v>32</v>
      </c>
      <c r="K5" s="7" t="s">
        <v>32</v>
      </c>
      <c r="L5" s="7" t="s">
        <v>32</v>
      </c>
      <c r="M5" s="7" t="s">
        <v>32</v>
      </c>
      <c r="N5" s="7" t="s">
        <v>32</v>
      </c>
      <c r="O5" s="7" t="s">
        <v>32</v>
      </c>
      <c r="P5" s="7" t="s">
        <v>32</v>
      </c>
      <c r="Q5" s="20" t="s">
        <v>31</v>
      </c>
      <c r="R5" s="20" t="s">
        <v>31</v>
      </c>
      <c r="S5" s="20" t="s">
        <v>31</v>
      </c>
      <c r="T5" s="20" t="s">
        <v>31</v>
      </c>
      <c r="U5" s="7" t="s">
        <v>31</v>
      </c>
      <c r="V5" s="20" t="s">
        <v>31</v>
      </c>
      <c r="W5" s="20" t="s">
        <v>31</v>
      </c>
      <c r="X5" s="20" t="s">
        <v>31</v>
      </c>
      <c r="Y5" s="20" t="s">
        <v>31</v>
      </c>
      <c r="Z5" s="20" t="s">
        <v>31</v>
      </c>
    </row>
    <row r="6" s="1" customFormat="1" ht="13.5" spans="1:26">
      <c r="A6" s="9"/>
      <c r="B6" s="10"/>
      <c r="C6" s="10"/>
      <c r="D6" s="9" t="s">
        <v>272</v>
      </c>
      <c r="E6" s="9"/>
      <c r="F6" s="9">
        <v>0.036</v>
      </c>
      <c r="G6" s="9"/>
      <c r="H6" s="9">
        <v>0.268</v>
      </c>
      <c r="I6" s="9">
        <v>0.763</v>
      </c>
      <c r="J6" s="9">
        <v>12</v>
      </c>
      <c r="K6" s="9">
        <v>62</v>
      </c>
      <c r="L6" s="9">
        <v>8</v>
      </c>
      <c r="M6" s="9">
        <v>23</v>
      </c>
      <c r="N6" s="9">
        <v>9</v>
      </c>
      <c r="O6" s="9">
        <v>15</v>
      </c>
      <c r="P6" s="9">
        <v>12</v>
      </c>
      <c r="Q6" s="21">
        <v>0.009</v>
      </c>
      <c r="R6" s="21"/>
      <c r="S6" s="21">
        <v>0.156</v>
      </c>
      <c r="T6" s="21"/>
      <c r="U6" s="9"/>
      <c r="V6" s="21"/>
      <c r="W6" s="21"/>
      <c r="X6" s="21"/>
      <c r="Y6" s="21"/>
      <c r="Z6" s="21"/>
    </row>
    <row r="7" s="1" customFormat="1" ht="12.75" spans="1:26">
      <c r="A7" s="5" t="s">
        <v>153</v>
      </c>
      <c r="B7" s="5" t="s">
        <v>218</v>
      </c>
      <c r="C7" s="5" t="s">
        <v>273</v>
      </c>
      <c r="D7" s="5" t="s">
        <v>274</v>
      </c>
      <c r="E7" s="5">
        <v>1</v>
      </c>
      <c r="F7" s="11">
        <v>60.699322740926</v>
      </c>
      <c r="G7" s="11">
        <v>6802.92639026201</v>
      </c>
      <c r="H7" s="12">
        <v>0.80906008114089</v>
      </c>
      <c r="I7" s="17">
        <v>0.3815</v>
      </c>
      <c r="J7" s="11">
        <v>452.979124763698</v>
      </c>
      <c r="K7" s="11">
        <v>521.013986250882</v>
      </c>
      <c r="L7" s="11">
        <v>262.026024677705</v>
      </c>
      <c r="M7" s="11">
        <v>839.717385909938</v>
      </c>
      <c r="N7" s="11">
        <v>39.48057249312</v>
      </c>
      <c r="O7" s="11">
        <v>7.5</v>
      </c>
      <c r="P7" s="11">
        <v>21.2478686691795</v>
      </c>
      <c r="Q7" s="22">
        <v>0.013043774710781</v>
      </c>
      <c r="R7" s="17">
        <v>1.65648300683159</v>
      </c>
      <c r="S7" s="17">
        <v>0.078</v>
      </c>
      <c r="T7" s="17">
        <v>0.329995851018345</v>
      </c>
      <c r="U7" s="11">
        <v>109.31228727974</v>
      </c>
      <c r="V7" s="23">
        <v>0.0295</v>
      </c>
      <c r="W7" s="23">
        <v>0.037</v>
      </c>
      <c r="X7" s="23">
        <v>0.3435</v>
      </c>
      <c r="Y7" s="17">
        <v>0.426792805148495</v>
      </c>
      <c r="Z7" s="17">
        <v>5.3463157079476</v>
      </c>
    </row>
    <row r="8" s="1" customFormat="1" ht="12.75" spans="1:26">
      <c r="A8" s="7"/>
      <c r="B8" s="7"/>
      <c r="C8" s="7"/>
      <c r="D8" s="7" t="s">
        <v>274</v>
      </c>
      <c r="E8" s="7">
        <v>2</v>
      </c>
      <c r="F8" s="13">
        <v>153.11048562256</v>
      </c>
      <c r="G8" s="13">
        <v>6467.80747186853</v>
      </c>
      <c r="H8" s="14">
        <v>0.624794531204623</v>
      </c>
      <c r="I8" s="18">
        <v>0.3815</v>
      </c>
      <c r="J8" s="13">
        <v>98.706593932615</v>
      </c>
      <c r="K8" s="13">
        <v>1252.65508910942</v>
      </c>
      <c r="L8" s="13">
        <v>373.62258950131</v>
      </c>
      <c r="M8" s="13">
        <v>1237.10410273353</v>
      </c>
      <c r="N8" s="13">
        <v>71.508212448321</v>
      </c>
      <c r="O8" s="13">
        <v>7.5</v>
      </c>
      <c r="P8" s="13">
        <v>6</v>
      </c>
      <c r="Q8" s="24">
        <v>0.047274036356624</v>
      </c>
      <c r="R8" s="18">
        <v>2.88213012816416</v>
      </c>
      <c r="S8" s="18">
        <v>0.078</v>
      </c>
      <c r="T8" s="18">
        <v>0.409700372396202</v>
      </c>
      <c r="U8" s="13">
        <v>104.706421983536</v>
      </c>
      <c r="V8" s="25">
        <v>0.029</v>
      </c>
      <c r="W8" s="25">
        <v>0.0365</v>
      </c>
      <c r="X8" s="25">
        <v>0.3445</v>
      </c>
      <c r="Y8" s="18">
        <v>0.864300299391538</v>
      </c>
      <c r="Z8" s="18">
        <v>10.5289824913282</v>
      </c>
    </row>
    <row r="9" s="1" customFormat="1" ht="12.75" spans="1:26">
      <c r="A9" s="7"/>
      <c r="B9" s="7"/>
      <c r="C9" s="7"/>
      <c r="D9" s="7" t="s">
        <v>274</v>
      </c>
      <c r="E9" s="7">
        <v>3</v>
      </c>
      <c r="F9" s="13">
        <v>98.5972962164366</v>
      </c>
      <c r="G9" s="13">
        <v>4058.61270979685</v>
      </c>
      <c r="H9" s="14">
        <v>0.134</v>
      </c>
      <c r="I9" s="18">
        <v>0.3815</v>
      </c>
      <c r="J9" s="13">
        <v>102.333623218688</v>
      </c>
      <c r="K9" s="13">
        <v>493.308208265647</v>
      </c>
      <c r="L9" s="13">
        <v>99.672122831073</v>
      </c>
      <c r="M9" s="13">
        <v>558.7120029759</v>
      </c>
      <c r="N9" s="13">
        <v>14.317170805607</v>
      </c>
      <c r="O9" s="13">
        <v>7.5</v>
      </c>
      <c r="P9" s="13">
        <v>24.3960766393405</v>
      </c>
      <c r="Q9" s="26">
        <v>0.011883915209672</v>
      </c>
      <c r="R9" s="18">
        <v>2.76308252166256</v>
      </c>
      <c r="S9" s="18">
        <v>0.078</v>
      </c>
      <c r="T9" s="25">
        <v>0.3275</v>
      </c>
      <c r="U9" s="13">
        <v>110.771477025038</v>
      </c>
      <c r="V9" s="25">
        <v>0.082</v>
      </c>
      <c r="W9" s="25">
        <v>0.102</v>
      </c>
      <c r="X9" s="25">
        <v>0.999</v>
      </c>
      <c r="Y9" s="18">
        <v>1.6516188804932</v>
      </c>
      <c r="Z9" s="18">
        <v>8.14107892433275</v>
      </c>
    </row>
    <row r="10" s="1" customFormat="1" ht="12.75" spans="1:26">
      <c r="A10" s="7"/>
      <c r="B10" s="7"/>
      <c r="C10" s="7"/>
      <c r="D10" s="7" t="s">
        <v>274</v>
      </c>
      <c r="E10" s="7">
        <v>4</v>
      </c>
      <c r="F10" s="13">
        <v>113.734317621673</v>
      </c>
      <c r="G10" s="13">
        <v>3827.74248277807</v>
      </c>
      <c r="H10" s="14">
        <v>0.134</v>
      </c>
      <c r="I10" s="18">
        <v>0.3815</v>
      </c>
      <c r="J10" s="13">
        <v>595.077215387271</v>
      </c>
      <c r="K10" s="13">
        <v>1471.86670030022</v>
      </c>
      <c r="L10" s="13">
        <v>515.441165541142</v>
      </c>
      <c r="M10" s="13">
        <v>1327.66446845506</v>
      </c>
      <c r="N10" s="13">
        <v>31.293924874554</v>
      </c>
      <c r="O10" s="13">
        <v>7.5</v>
      </c>
      <c r="P10" s="13">
        <v>6</v>
      </c>
      <c r="Q10" s="26">
        <v>0.0045</v>
      </c>
      <c r="R10" s="18">
        <v>1.32746518990024</v>
      </c>
      <c r="S10" s="18">
        <v>0.078</v>
      </c>
      <c r="T10" s="25">
        <v>0.1705</v>
      </c>
      <c r="U10" s="13">
        <v>102.113501532905</v>
      </c>
      <c r="V10" s="25">
        <v>0.0425</v>
      </c>
      <c r="W10" s="25">
        <v>0.053</v>
      </c>
      <c r="X10" s="25">
        <v>0.527</v>
      </c>
      <c r="Y10" s="18">
        <v>0.693128442850954</v>
      </c>
      <c r="Z10" s="18">
        <v>5.0413020364146</v>
      </c>
    </row>
    <row r="11" s="1" customFormat="1" ht="12.75" spans="1:26">
      <c r="A11" s="7"/>
      <c r="B11" s="7"/>
      <c r="C11" s="7"/>
      <c r="D11" s="7" t="s">
        <v>274</v>
      </c>
      <c r="E11" s="7">
        <v>5</v>
      </c>
      <c r="F11" s="13">
        <v>83.3686091138635</v>
      </c>
      <c r="G11" s="13">
        <v>5028.58400087572</v>
      </c>
      <c r="H11" s="14">
        <v>0.987003267493247</v>
      </c>
      <c r="I11" s="18">
        <v>0.3815</v>
      </c>
      <c r="J11" s="13">
        <v>208.400029163607</v>
      </c>
      <c r="K11" s="13">
        <v>705.091141124957</v>
      </c>
      <c r="L11" s="13">
        <v>356.063123280423</v>
      </c>
      <c r="M11" s="13">
        <v>842.615075658464</v>
      </c>
      <c r="N11" s="13">
        <v>14.991021190999</v>
      </c>
      <c r="O11" s="13">
        <v>7.5</v>
      </c>
      <c r="P11" s="13">
        <v>6</v>
      </c>
      <c r="Q11" s="26">
        <v>0.01470811478946</v>
      </c>
      <c r="R11" s="18">
        <v>2.41674001006418</v>
      </c>
      <c r="S11" s="18">
        <v>0.078</v>
      </c>
      <c r="T11" s="25">
        <v>0.1495</v>
      </c>
      <c r="U11" s="13">
        <v>105.535108689828</v>
      </c>
      <c r="V11" s="25">
        <v>0.038</v>
      </c>
      <c r="W11" s="25">
        <v>0.047</v>
      </c>
      <c r="X11" s="25">
        <v>0.478</v>
      </c>
      <c r="Y11" s="18">
        <v>0.732400755191777</v>
      </c>
      <c r="Z11" s="18">
        <v>7.48181320402924</v>
      </c>
    </row>
    <row r="12" s="1" customFormat="1" ht="12.75" spans="1:26">
      <c r="A12" s="7"/>
      <c r="B12" s="7"/>
      <c r="C12" s="7"/>
      <c r="D12" s="7" t="s">
        <v>274</v>
      </c>
      <c r="E12" s="7">
        <v>6</v>
      </c>
      <c r="F12" s="13">
        <v>104.16677560033</v>
      </c>
      <c r="G12" s="13">
        <v>4455.37977074139</v>
      </c>
      <c r="H12" s="14">
        <v>0.134</v>
      </c>
      <c r="I12" s="18">
        <v>0.3815</v>
      </c>
      <c r="J12" s="13">
        <v>378.660603765674</v>
      </c>
      <c r="K12" s="13">
        <v>516.543048605833</v>
      </c>
      <c r="L12" s="13">
        <v>139.507583819855</v>
      </c>
      <c r="M12" s="13">
        <v>668.050056728888</v>
      </c>
      <c r="N12" s="13">
        <v>35.740939048082</v>
      </c>
      <c r="O12" s="13">
        <v>17.824097765155</v>
      </c>
      <c r="P12" s="13">
        <v>6</v>
      </c>
      <c r="Q12" s="26">
        <v>0.0045</v>
      </c>
      <c r="R12" s="18">
        <v>2.22520411772974</v>
      </c>
      <c r="S12" s="18">
        <v>0.078</v>
      </c>
      <c r="T12" s="25">
        <v>0.118</v>
      </c>
      <c r="U12" s="13">
        <v>98.7616155684173</v>
      </c>
      <c r="V12" s="25">
        <v>0.03</v>
      </c>
      <c r="W12" s="25">
        <v>0.037</v>
      </c>
      <c r="X12" s="25">
        <v>0.387</v>
      </c>
      <c r="Y12" s="18">
        <v>0.704682499694021</v>
      </c>
      <c r="Z12" s="18">
        <v>4.23668337494478</v>
      </c>
    </row>
    <row r="13" s="1" customFormat="1" ht="12.75" spans="1:26">
      <c r="A13" s="7"/>
      <c r="B13" s="7"/>
      <c r="C13" s="7"/>
      <c r="D13" s="7" t="s">
        <v>274</v>
      </c>
      <c r="E13" s="7">
        <v>7</v>
      </c>
      <c r="F13" s="13">
        <v>102.11671260542</v>
      </c>
      <c r="G13" s="13">
        <v>3865.11987633532</v>
      </c>
      <c r="H13" s="14">
        <v>0.134</v>
      </c>
      <c r="I13" s="18">
        <v>0.3815</v>
      </c>
      <c r="J13" s="13">
        <v>614.681291764011</v>
      </c>
      <c r="K13" s="13">
        <v>591.19490990807</v>
      </c>
      <c r="L13" s="13">
        <v>346.294735963915</v>
      </c>
      <c r="M13" s="13">
        <v>725.685785199383</v>
      </c>
      <c r="N13" s="13">
        <v>50.297429143285</v>
      </c>
      <c r="O13" s="13">
        <v>7.5</v>
      </c>
      <c r="P13" s="13">
        <v>6</v>
      </c>
      <c r="Q13" s="26">
        <v>0.0045</v>
      </c>
      <c r="R13" s="18">
        <v>2.01710929796579</v>
      </c>
      <c r="S13" s="18">
        <v>0.078</v>
      </c>
      <c r="T13" s="25">
        <v>0.2705</v>
      </c>
      <c r="U13" s="13">
        <v>122.316739606215</v>
      </c>
      <c r="V13" s="25">
        <v>0.07</v>
      </c>
      <c r="W13" s="25">
        <v>0.0865</v>
      </c>
      <c r="X13" s="25">
        <v>0.913</v>
      </c>
      <c r="Y13" s="18">
        <v>0.816001484753973</v>
      </c>
      <c r="Z13" s="18">
        <v>4.99446659717001</v>
      </c>
    </row>
    <row r="14" s="1" customFormat="1" ht="12.75" spans="1:26">
      <c r="A14" s="7"/>
      <c r="B14" s="7"/>
      <c r="C14" s="7"/>
      <c r="D14" s="7" t="s">
        <v>274</v>
      </c>
      <c r="E14" s="7">
        <v>8</v>
      </c>
      <c r="F14" s="13">
        <v>48.7674651323274</v>
      </c>
      <c r="G14" s="13">
        <v>5412.2238795801</v>
      </c>
      <c r="H14" s="14">
        <v>1.2405370798278</v>
      </c>
      <c r="I14" s="18">
        <v>0.3815</v>
      </c>
      <c r="J14" s="13">
        <v>882.550697192142</v>
      </c>
      <c r="K14" s="13">
        <v>352.917448458375</v>
      </c>
      <c r="L14" s="13">
        <v>38.942649854905</v>
      </c>
      <c r="M14" s="13">
        <v>443.062048521229</v>
      </c>
      <c r="N14" s="13">
        <v>4.5</v>
      </c>
      <c r="O14" s="13">
        <v>7.5</v>
      </c>
      <c r="P14" s="13">
        <v>34.376496183943</v>
      </c>
      <c r="Q14" s="26">
        <v>0.0045</v>
      </c>
      <c r="R14" s="18">
        <v>2.75776985198227</v>
      </c>
      <c r="S14" s="18">
        <v>0.078</v>
      </c>
      <c r="T14" s="25">
        <v>0.1395</v>
      </c>
      <c r="U14" s="13">
        <v>92.4250754613993</v>
      </c>
      <c r="V14" s="25">
        <v>0.036</v>
      </c>
      <c r="W14" s="25">
        <v>0.0445</v>
      </c>
      <c r="X14" s="18">
        <v>2.64212569641835</v>
      </c>
      <c r="Y14" s="18">
        <v>0.837118613116192</v>
      </c>
      <c r="Z14" s="18">
        <v>6.40267120489269</v>
      </c>
    </row>
    <row r="15" s="1" customFormat="1" ht="12.75" spans="1:26">
      <c r="A15" s="7"/>
      <c r="B15" s="7"/>
      <c r="C15" s="7"/>
      <c r="D15" s="7" t="s">
        <v>274</v>
      </c>
      <c r="E15" s="7">
        <v>9</v>
      </c>
      <c r="F15" s="13">
        <v>75.4413751872632</v>
      </c>
      <c r="G15" s="13">
        <v>4581.33042379837</v>
      </c>
      <c r="H15" s="14">
        <v>0.535173528264574</v>
      </c>
      <c r="I15" s="18">
        <v>0.3815</v>
      </c>
      <c r="J15" s="13">
        <v>171.443918695377</v>
      </c>
      <c r="K15" s="13">
        <v>565.74801436869</v>
      </c>
      <c r="L15" s="13">
        <v>20.712621342751</v>
      </c>
      <c r="M15" s="13">
        <v>609.004017457908</v>
      </c>
      <c r="N15" s="13">
        <v>14.247167367413</v>
      </c>
      <c r="O15" s="13">
        <v>7.5</v>
      </c>
      <c r="P15" s="13">
        <v>6</v>
      </c>
      <c r="Q15" s="26">
        <v>0.0045</v>
      </c>
      <c r="R15" s="18">
        <v>3.41464689199256</v>
      </c>
      <c r="S15" s="18">
        <v>0.078</v>
      </c>
      <c r="T15" s="25">
        <v>0.0965</v>
      </c>
      <c r="U15" s="13">
        <v>102.992845393143</v>
      </c>
      <c r="V15" s="25">
        <v>0.025</v>
      </c>
      <c r="W15" s="25">
        <v>0.031</v>
      </c>
      <c r="X15" s="25">
        <v>0.3395</v>
      </c>
      <c r="Y15" s="18">
        <v>1.95637862476475</v>
      </c>
      <c r="Z15" s="18">
        <v>36.6744978337515</v>
      </c>
    </row>
    <row r="16" s="1" customFormat="1" ht="12.75" spans="1:26">
      <c r="A16" s="7"/>
      <c r="B16" s="7"/>
      <c r="C16" s="7"/>
      <c r="D16" s="7" t="s">
        <v>274</v>
      </c>
      <c r="E16" s="7">
        <v>10</v>
      </c>
      <c r="F16" s="13">
        <v>58.4083233796419</v>
      </c>
      <c r="G16" s="13">
        <v>5929.2284943517</v>
      </c>
      <c r="H16" s="14">
        <v>3.5123685506298</v>
      </c>
      <c r="I16" s="18">
        <v>0.3815</v>
      </c>
      <c r="J16" s="13">
        <v>143.154629745542</v>
      </c>
      <c r="K16" s="13">
        <v>744.992625879761</v>
      </c>
      <c r="L16" s="13">
        <v>58.320305901173</v>
      </c>
      <c r="M16" s="13">
        <v>1040.49857215659</v>
      </c>
      <c r="N16" s="13">
        <v>10.383073629476</v>
      </c>
      <c r="O16" s="13">
        <v>7.5</v>
      </c>
      <c r="P16" s="13">
        <v>6</v>
      </c>
      <c r="Q16" s="26">
        <v>0.0045</v>
      </c>
      <c r="R16" s="18">
        <v>5.79678401899344</v>
      </c>
      <c r="S16" s="18">
        <v>0.078</v>
      </c>
      <c r="T16" s="25">
        <v>0.4135</v>
      </c>
      <c r="U16" s="13">
        <v>143.641532739528</v>
      </c>
      <c r="V16" s="25">
        <v>0.1075</v>
      </c>
      <c r="W16" s="25">
        <v>0.133</v>
      </c>
      <c r="X16" s="25">
        <v>1.4815</v>
      </c>
      <c r="Y16" s="18">
        <v>1.52878007606603</v>
      </c>
      <c r="Z16" s="18">
        <v>23.5465896834357</v>
      </c>
    </row>
    <row r="17" s="1" customFormat="1" ht="12.75" spans="1:26">
      <c r="A17" s="7"/>
      <c r="B17" s="7" t="s">
        <v>220</v>
      </c>
      <c r="C17" s="7" t="s">
        <v>273</v>
      </c>
      <c r="D17" s="7" t="s">
        <v>274</v>
      </c>
      <c r="E17" s="7">
        <v>1</v>
      </c>
      <c r="F17" s="13">
        <v>64.4532540202869</v>
      </c>
      <c r="G17" s="13">
        <v>6622.77288000435</v>
      </c>
      <c r="H17" s="14">
        <v>36.84452131187</v>
      </c>
      <c r="I17" s="18">
        <v>0.3815</v>
      </c>
      <c r="J17" s="13">
        <v>256.654847940423</v>
      </c>
      <c r="K17" s="13">
        <v>489.18635261742</v>
      </c>
      <c r="L17" s="13">
        <v>4</v>
      </c>
      <c r="M17" s="13">
        <v>585.116064083194</v>
      </c>
      <c r="N17" s="13">
        <v>4.5</v>
      </c>
      <c r="O17" s="13">
        <v>7.5</v>
      </c>
      <c r="P17" s="13">
        <v>6</v>
      </c>
      <c r="Q17" s="26">
        <v>0.0045</v>
      </c>
      <c r="R17" s="18">
        <v>5.01608516194283</v>
      </c>
      <c r="S17" s="18">
        <v>0.078</v>
      </c>
      <c r="T17" s="25">
        <v>0.4345</v>
      </c>
      <c r="U17" s="13">
        <v>140.44609657041</v>
      </c>
      <c r="V17" s="25">
        <v>0.113</v>
      </c>
      <c r="W17" s="25">
        <v>0.14</v>
      </c>
      <c r="X17" s="25">
        <v>1.57</v>
      </c>
      <c r="Y17" s="27">
        <v>4.27470381701399</v>
      </c>
      <c r="Z17" s="18">
        <v>5.48448911990688</v>
      </c>
    </row>
    <row r="18" s="1" customFormat="1" ht="12.75" spans="1:26">
      <c r="A18" s="7"/>
      <c r="B18" s="7"/>
      <c r="C18" s="7"/>
      <c r="D18" s="7" t="s">
        <v>274</v>
      </c>
      <c r="E18" s="7">
        <v>2</v>
      </c>
      <c r="F18" s="13">
        <v>263.6577082258</v>
      </c>
      <c r="G18" s="13">
        <v>7235.06141703748</v>
      </c>
      <c r="H18" s="14">
        <v>22.1694553101527</v>
      </c>
      <c r="I18" s="18">
        <v>0.3815</v>
      </c>
      <c r="J18" s="13">
        <v>125.570515620273</v>
      </c>
      <c r="K18" s="13">
        <v>368.153627306003</v>
      </c>
      <c r="L18" s="13">
        <v>10.195855783149</v>
      </c>
      <c r="M18" s="13">
        <v>637.778192110684</v>
      </c>
      <c r="N18" s="13">
        <v>4.5</v>
      </c>
      <c r="O18" s="13">
        <v>7.5</v>
      </c>
      <c r="P18" s="13">
        <v>28.9256490117535</v>
      </c>
      <c r="Q18" s="26">
        <v>0.037496360232345</v>
      </c>
      <c r="R18" s="18">
        <v>4.38477925321715</v>
      </c>
      <c r="S18" s="18">
        <v>0.078</v>
      </c>
      <c r="T18" s="25">
        <v>0.1015</v>
      </c>
      <c r="U18" s="13">
        <v>112.937999886762</v>
      </c>
      <c r="V18" s="25">
        <v>0.026</v>
      </c>
      <c r="W18" s="25">
        <v>0.0325</v>
      </c>
      <c r="X18" s="25">
        <v>0.367</v>
      </c>
      <c r="Y18" s="18">
        <v>0.673006349429425</v>
      </c>
      <c r="Z18" s="18">
        <v>0.737772890600518</v>
      </c>
    </row>
    <row r="19" s="1" customFormat="1" ht="12.75" spans="1:26">
      <c r="A19" s="7"/>
      <c r="B19" s="7"/>
      <c r="C19" s="7"/>
      <c r="D19" s="7" t="s">
        <v>274</v>
      </c>
      <c r="E19" s="7">
        <v>3</v>
      </c>
      <c r="F19" s="13">
        <v>50.2888212134617</v>
      </c>
      <c r="G19" s="13">
        <v>7032.90187006115</v>
      </c>
      <c r="H19" s="15">
        <v>1830.80587898802</v>
      </c>
      <c r="I19" s="18">
        <v>1.68781412276976</v>
      </c>
      <c r="J19" s="13">
        <v>146.597863998352</v>
      </c>
      <c r="K19" s="13">
        <v>945.613624419828</v>
      </c>
      <c r="L19" s="13">
        <v>25.520309098443</v>
      </c>
      <c r="M19" s="13">
        <v>1007.49075405433</v>
      </c>
      <c r="N19" s="13">
        <v>15.036613344195</v>
      </c>
      <c r="O19" s="13">
        <v>7.5</v>
      </c>
      <c r="P19" s="13">
        <v>47.972153504745</v>
      </c>
      <c r="Q19" s="26">
        <v>0.046883945284234</v>
      </c>
      <c r="R19" s="18">
        <v>4.36735684633187</v>
      </c>
      <c r="S19" s="18">
        <v>0.215710159803258</v>
      </c>
      <c r="T19" s="25">
        <v>0.1585</v>
      </c>
      <c r="U19" s="13">
        <v>102.656004618886</v>
      </c>
      <c r="V19" s="25">
        <v>0.041</v>
      </c>
      <c r="W19" s="25">
        <v>0.051</v>
      </c>
      <c r="X19" s="25">
        <v>0.583</v>
      </c>
      <c r="Y19" s="18">
        <v>1.71831494302533</v>
      </c>
      <c r="Z19" s="18">
        <v>2.35549753640169</v>
      </c>
    </row>
    <row r="20" s="1" customFormat="1" ht="12.75" spans="1:26">
      <c r="A20" s="7"/>
      <c r="B20" s="7"/>
      <c r="C20" s="7"/>
      <c r="D20" s="7" t="s">
        <v>274</v>
      </c>
      <c r="E20" s="7">
        <v>4</v>
      </c>
      <c r="F20" s="13">
        <v>33.8203488202741</v>
      </c>
      <c r="G20" s="13">
        <v>6570.89558699383</v>
      </c>
      <c r="H20" s="14">
        <v>5.56145992126622</v>
      </c>
      <c r="I20" s="18">
        <v>0.3815</v>
      </c>
      <c r="J20" s="13">
        <v>128.806629163112</v>
      </c>
      <c r="K20" s="13">
        <v>1088.23737929348</v>
      </c>
      <c r="L20" s="13">
        <v>60.601875766872</v>
      </c>
      <c r="M20" s="13">
        <v>1213.88776516323</v>
      </c>
      <c r="N20" s="13">
        <v>22.7101135772</v>
      </c>
      <c r="O20" s="13">
        <v>7.5</v>
      </c>
      <c r="P20" s="13">
        <v>13.100040410452</v>
      </c>
      <c r="Q20" s="26">
        <v>0.014348737790301</v>
      </c>
      <c r="R20" s="18">
        <v>0.585472120585171</v>
      </c>
      <c r="S20" s="18">
        <v>0.078</v>
      </c>
      <c r="T20" s="25">
        <v>0.108</v>
      </c>
      <c r="U20" s="13">
        <v>117.989644344242</v>
      </c>
      <c r="V20" s="25">
        <v>0.026</v>
      </c>
      <c r="W20" s="25">
        <v>0.0325</v>
      </c>
      <c r="X20" s="25">
        <v>0.374</v>
      </c>
      <c r="Y20" s="18">
        <v>0.427975936717144</v>
      </c>
      <c r="Z20" s="18">
        <v>0.593067310194082</v>
      </c>
    </row>
    <row r="21" s="1" customFormat="1" ht="12.75" spans="1:26">
      <c r="A21" s="7"/>
      <c r="B21" s="7"/>
      <c r="C21" s="7"/>
      <c r="D21" s="7" t="s">
        <v>274</v>
      </c>
      <c r="E21" s="7">
        <v>5</v>
      </c>
      <c r="F21" s="13">
        <v>45.6345920665525</v>
      </c>
      <c r="G21" s="13">
        <v>6959.61978012606</v>
      </c>
      <c r="H21" s="14">
        <v>15.5180980559142</v>
      </c>
      <c r="I21" s="18">
        <v>0.3815</v>
      </c>
      <c r="J21" s="13">
        <v>34.362520671139</v>
      </c>
      <c r="K21" s="13">
        <v>974.032779377568</v>
      </c>
      <c r="L21" s="13">
        <v>47.538907854772</v>
      </c>
      <c r="M21" s="13">
        <v>967.230491532382</v>
      </c>
      <c r="N21" s="13">
        <v>4.5</v>
      </c>
      <c r="O21" s="13">
        <v>7.5</v>
      </c>
      <c r="P21" s="13">
        <v>6</v>
      </c>
      <c r="Q21" s="26">
        <v>0.0045</v>
      </c>
      <c r="R21" s="25">
        <v>0.8625</v>
      </c>
      <c r="S21" s="18">
        <v>0.078</v>
      </c>
      <c r="T21" s="25">
        <v>0.5765</v>
      </c>
      <c r="U21" s="13">
        <v>92.5617325865211</v>
      </c>
      <c r="V21" s="25">
        <v>0.148</v>
      </c>
      <c r="W21" s="25">
        <v>0.1855</v>
      </c>
      <c r="X21" s="25">
        <v>2.136</v>
      </c>
      <c r="Y21" s="18">
        <v>0.651503768836922</v>
      </c>
      <c r="Z21" s="18">
        <v>0.870075108356643</v>
      </c>
    </row>
    <row r="22" s="1" customFormat="1" ht="12.75" spans="1:26">
      <c r="A22" s="7"/>
      <c r="B22" s="7"/>
      <c r="C22" s="7"/>
      <c r="D22" s="7" t="s">
        <v>274</v>
      </c>
      <c r="E22" s="7">
        <v>6</v>
      </c>
      <c r="F22" s="13">
        <v>21.7593771307843</v>
      </c>
      <c r="G22" s="13">
        <v>5965.67383509444</v>
      </c>
      <c r="H22" s="14">
        <v>3.59963313508406</v>
      </c>
      <c r="I22" s="18">
        <v>0.3815</v>
      </c>
      <c r="J22" s="13">
        <v>278.252361996139</v>
      </c>
      <c r="K22" s="13">
        <v>938.627884171661</v>
      </c>
      <c r="L22" s="13">
        <v>44.546052900003</v>
      </c>
      <c r="M22" s="13">
        <v>1190.15022281648</v>
      </c>
      <c r="N22" s="13">
        <v>35.279911351054</v>
      </c>
      <c r="O22" s="13">
        <v>7.5</v>
      </c>
      <c r="P22" s="13">
        <v>6</v>
      </c>
      <c r="Q22" s="24">
        <v>0.069567271034687</v>
      </c>
      <c r="R22" s="18">
        <v>1.54430891026621</v>
      </c>
      <c r="S22" s="18">
        <v>0.078</v>
      </c>
      <c r="T22" s="25">
        <v>0.2655</v>
      </c>
      <c r="U22" s="13">
        <v>114.46119441544</v>
      </c>
      <c r="V22" s="25">
        <v>0.0675</v>
      </c>
      <c r="W22" s="25">
        <v>0.085</v>
      </c>
      <c r="X22" s="25">
        <v>0.982</v>
      </c>
      <c r="Y22" s="18">
        <v>1.0428443616086</v>
      </c>
      <c r="Z22" s="18">
        <v>0.83665588923082</v>
      </c>
    </row>
    <row r="23" s="1" customFormat="1" ht="12.75" spans="1:26">
      <c r="A23" s="7"/>
      <c r="B23" s="7"/>
      <c r="C23" s="7"/>
      <c r="D23" s="7" t="s">
        <v>274</v>
      </c>
      <c r="E23" s="7">
        <v>7</v>
      </c>
      <c r="F23" s="13">
        <v>39.4730297628781</v>
      </c>
      <c r="G23" s="13">
        <v>6058.36823678633</v>
      </c>
      <c r="H23" s="14">
        <v>1.59259304188734</v>
      </c>
      <c r="I23" s="18">
        <v>0.3815</v>
      </c>
      <c r="J23" s="13">
        <v>6</v>
      </c>
      <c r="K23" s="13">
        <v>806.907513916293</v>
      </c>
      <c r="L23" s="13">
        <v>4</v>
      </c>
      <c r="M23" s="13">
        <v>816.229751190054</v>
      </c>
      <c r="N23" s="13">
        <v>4.5</v>
      </c>
      <c r="O23" s="13">
        <v>7.5</v>
      </c>
      <c r="P23" s="13">
        <v>57.228826144242</v>
      </c>
      <c r="Q23" s="26">
        <v>0.0045</v>
      </c>
      <c r="R23" s="18">
        <v>0.582013357744731</v>
      </c>
      <c r="S23" s="18">
        <v>0.078</v>
      </c>
      <c r="T23" s="25">
        <v>0.148</v>
      </c>
      <c r="U23" s="13">
        <v>108.500744767315</v>
      </c>
      <c r="V23" s="25">
        <v>0.037</v>
      </c>
      <c r="W23" s="25">
        <v>0.047</v>
      </c>
      <c r="X23" s="25">
        <v>0.5435</v>
      </c>
      <c r="Y23" s="18">
        <v>0.334904496233242</v>
      </c>
      <c r="Z23" s="18">
        <v>0.401078004210717</v>
      </c>
    </row>
    <row r="24" s="1" customFormat="1" ht="12.75" spans="1:26">
      <c r="A24" s="7"/>
      <c r="B24" s="7"/>
      <c r="C24" s="7"/>
      <c r="D24" s="7" t="s">
        <v>274</v>
      </c>
      <c r="E24" s="7">
        <v>8</v>
      </c>
      <c r="F24" s="13">
        <v>39.196697314169</v>
      </c>
      <c r="G24" s="13">
        <v>5767.01074089559</v>
      </c>
      <c r="H24" s="14">
        <v>0.522926255147178</v>
      </c>
      <c r="I24" s="18">
        <v>0.3815</v>
      </c>
      <c r="J24" s="13">
        <v>372.664120539801</v>
      </c>
      <c r="K24" s="13">
        <v>915.065941013089</v>
      </c>
      <c r="L24" s="13">
        <v>4</v>
      </c>
      <c r="M24" s="13">
        <v>959.001157750532</v>
      </c>
      <c r="N24" s="13">
        <v>4.5</v>
      </c>
      <c r="O24" s="13">
        <v>7.5</v>
      </c>
      <c r="P24" s="13">
        <v>12.431870520464</v>
      </c>
      <c r="Q24" s="26">
        <v>0.032941819383873</v>
      </c>
      <c r="R24" s="18">
        <v>0.473622647759316</v>
      </c>
      <c r="S24" s="18">
        <v>0.078</v>
      </c>
      <c r="T24" s="25">
        <v>0.1455</v>
      </c>
      <c r="U24" s="13">
        <v>110.564698919939</v>
      </c>
      <c r="V24" s="25">
        <v>0.036</v>
      </c>
      <c r="W24" s="25">
        <v>0.046</v>
      </c>
      <c r="X24" s="25">
        <v>0.5335</v>
      </c>
      <c r="Y24" s="18">
        <v>0.828390373729344</v>
      </c>
      <c r="Z24" s="18">
        <v>1.0509013495863</v>
      </c>
    </row>
    <row r="25" s="1" customFormat="1" ht="12.75" spans="1:26">
      <c r="A25" s="7"/>
      <c r="B25" s="7"/>
      <c r="C25" s="7"/>
      <c r="D25" s="7" t="s">
        <v>274</v>
      </c>
      <c r="E25" s="7">
        <v>9</v>
      </c>
      <c r="F25" s="13">
        <v>30.420214384655</v>
      </c>
      <c r="G25" s="13">
        <v>5638.53944781216</v>
      </c>
      <c r="H25" s="14">
        <v>0.962203103971592</v>
      </c>
      <c r="I25" s="18">
        <v>0.3815</v>
      </c>
      <c r="J25" s="13">
        <v>33.530634857134</v>
      </c>
      <c r="K25" s="13">
        <v>605.699441116618</v>
      </c>
      <c r="L25" s="13">
        <v>4</v>
      </c>
      <c r="M25" s="13">
        <v>1017.52151014713</v>
      </c>
      <c r="N25" s="13">
        <v>4.5</v>
      </c>
      <c r="O25" s="19">
        <v>62.841726528524</v>
      </c>
      <c r="P25" s="13">
        <v>6</v>
      </c>
      <c r="Q25" s="26">
        <v>0.0045</v>
      </c>
      <c r="R25" s="18">
        <v>1.47106876890027</v>
      </c>
      <c r="S25" s="18">
        <v>0.078</v>
      </c>
      <c r="T25" s="25">
        <v>0.2685</v>
      </c>
      <c r="U25" s="13">
        <v>128.69507869812</v>
      </c>
      <c r="V25" s="25">
        <v>0.067</v>
      </c>
      <c r="W25" s="25">
        <v>0.085</v>
      </c>
      <c r="X25" s="18">
        <v>1.9870995229632</v>
      </c>
      <c r="Y25" s="18">
        <v>0.750498449967196</v>
      </c>
      <c r="Z25" s="18">
        <v>0.693677377250615</v>
      </c>
    </row>
    <row r="26" s="1" customFormat="1" ht="12.75" spans="1:26">
      <c r="A26" s="7"/>
      <c r="B26" s="7"/>
      <c r="C26" s="7"/>
      <c r="D26" s="7" t="s">
        <v>274</v>
      </c>
      <c r="E26" s="7">
        <v>10</v>
      </c>
      <c r="F26" s="13">
        <v>301.05281291884</v>
      </c>
      <c r="G26" s="13">
        <v>6255.68791463585</v>
      </c>
      <c r="H26" s="15">
        <v>481.491705687396</v>
      </c>
      <c r="I26" s="18">
        <v>0.3815</v>
      </c>
      <c r="J26" s="13">
        <v>1068.35941526581</v>
      </c>
      <c r="K26" s="13">
        <v>1005.36533673821</v>
      </c>
      <c r="L26" s="13">
        <v>19.563202656612</v>
      </c>
      <c r="M26" s="13">
        <v>860.293984955791</v>
      </c>
      <c r="N26" s="13">
        <v>27.557288772475</v>
      </c>
      <c r="O26" s="13">
        <v>7.5</v>
      </c>
      <c r="P26" s="13">
        <v>16.2314359246755</v>
      </c>
      <c r="Q26" s="26">
        <v>0.02066473570516</v>
      </c>
      <c r="R26" s="18">
        <v>3.37289951429281</v>
      </c>
      <c r="S26" s="18">
        <v>0.078</v>
      </c>
      <c r="T26" s="25">
        <v>0.37</v>
      </c>
      <c r="U26" s="13">
        <v>132.189179162325</v>
      </c>
      <c r="V26" s="25">
        <v>0.0915</v>
      </c>
      <c r="W26" s="25">
        <v>0.117</v>
      </c>
      <c r="X26" s="18">
        <v>4.37687981154709</v>
      </c>
      <c r="Y26" s="18">
        <v>0.881639433239751</v>
      </c>
      <c r="Z26" s="18">
        <v>1.03504356469577</v>
      </c>
    </row>
    <row r="27" s="1" customFormat="1" ht="12.75" spans="1:26">
      <c r="A27" s="7"/>
      <c r="B27" s="7" t="s">
        <v>221</v>
      </c>
      <c r="C27" s="7" t="s">
        <v>273</v>
      </c>
      <c r="D27" s="7" t="s">
        <v>274</v>
      </c>
      <c r="E27" s="7">
        <v>1</v>
      </c>
      <c r="F27" s="13">
        <v>58.3706950041323</v>
      </c>
      <c r="G27" s="13">
        <v>6654.87525704864</v>
      </c>
      <c r="H27" s="15">
        <v>745.896454084927</v>
      </c>
      <c r="I27" s="18">
        <v>0.3815</v>
      </c>
      <c r="J27" s="13">
        <v>263.404364121122</v>
      </c>
      <c r="K27" s="13">
        <v>739.652805513796</v>
      </c>
      <c r="L27" s="13">
        <v>514.015407831761</v>
      </c>
      <c r="M27" s="13">
        <v>892.628461667408</v>
      </c>
      <c r="N27" s="13">
        <v>36.971057272065</v>
      </c>
      <c r="O27" s="13">
        <v>7.5</v>
      </c>
      <c r="P27" s="13">
        <v>35.859182799146</v>
      </c>
      <c r="Q27" s="26">
        <v>0.026410806960725</v>
      </c>
      <c r="R27" s="18">
        <v>2.45805691413322</v>
      </c>
      <c r="S27" s="18">
        <v>0.078</v>
      </c>
      <c r="T27" s="25">
        <v>0.2745</v>
      </c>
      <c r="U27" s="13">
        <v>101.454342676634</v>
      </c>
      <c r="V27" s="18">
        <v>0.185061792680871</v>
      </c>
      <c r="W27" s="25">
        <v>0.0865</v>
      </c>
      <c r="X27" s="25">
        <v>1.015</v>
      </c>
      <c r="Y27" s="18">
        <v>0.397067066588262</v>
      </c>
      <c r="Z27" s="18">
        <v>3.42833390382677</v>
      </c>
    </row>
    <row r="28" s="1" customFormat="1" ht="12.75" spans="1:26">
      <c r="A28" s="7"/>
      <c r="B28" s="7"/>
      <c r="C28" s="7"/>
      <c r="D28" s="7" t="s">
        <v>274</v>
      </c>
      <c r="E28" s="7">
        <v>2</v>
      </c>
      <c r="F28" s="13">
        <v>28.6344826755982</v>
      </c>
      <c r="G28" s="13">
        <v>6027.22819147554</v>
      </c>
      <c r="H28" s="14">
        <v>0.134</v>
      </c>
      <c r="I28" s="18">
        <v>0.3815</v>
      </c>
      <c r="J28" s="13">
        <v>124.334652214529</v>
      </c>
      <c r="K28" s="13">
        <v>810.37464166555</v>
      </c>
      <c r="L28" s="13">
        <v>395.278179952791</v>
      </c>
      <c r="M28" s="13">
        <v>939.740099967193</v>
      </c>
      <c r="N28" s="13">
        <v>118.535758144076</v>
      </c>
      <c r="O28" s="13">
        <v>7.5</v>
      </c>
      <c r="P28" s="13">
        <v>72.322529263902</v>
      </c>
      <c r="Q28" s="26">
        <v>0.037934734174554</v>
      </c>
      <c r="R28" s="18">
        <v>1.06235325397544</v>
      </c>
      <c r="S28" s="18">
        <v>0.206084393215392</v>
      </c>
      <c r="T28" s="25">
        <v>0.1565</v>
      </c>
      <c r="U28" s="13">
        <v>121.742551350538</v>
      </c>
      <c r="V28" s="25">
        <v>0.038</v>
      </c>
      <c r="W28" s="25">
        <v>0.0485</v>
      </c>
      <c r="X28" s="25">
        <v>0.572</v>
      </c>
      <c r="Y28" s="18">
        <v>0.591857226003536</v>
      </c>
      <c r="Z28" s="18">
        <v>3.19255859562348</v>
      </c>
    </row>
    <row r="29" s="1" customFormat="1" ht="12.75" spans="1:26">
      <c r="A29" s="7"/>
      <c r="B29" s="7"/>
      <c r="C29" s="7"/>
      <c r="D29" s="7" t="s">
        <v>274</v>
      </c>
      <c r="E29" s="7">
        <v>3</v>
      </c>
      <c r="F29" s="13">
        <v>45.3344956849303</v>
      </c>
      <c r="G29" s="13">
        <v>5351.98545879922</v>
      </c>
      <c r="H29" s="14">
        <v>0.450919692810994</v>
      </c>
      <c r="I29" s="18">
        <v>0.3815</v>
      </c>
      <c r="J29" s="13">
        <v>184.47062345016</v>
      </c>
      <c r="K29" s="13">
        <v>862.181149770776</v>
      </c>
      <c r="L29" s="13">
        <v>315.469146677427</v>
      </c>
      <c r="M29" s="13">
        <v>932.287001766887</v>
      </c>
      <c r="N29" s="13">
        <v>118.780140992383</v>
      </c>
      <c r="O29" s="13">
        <v>7.5</v>
      </c>
      <c r="P29" s="13">
        <v>6</v>
      </c>
      <c r="Q29" s="26">
        <v>0.0045</v>
      </c>
      <c r="R29" s="18">
        <v>0.573624780213601</v>
      </c>
      <c r="S29" s="18">
        <v>0.078</v>
      </c>
      <c r="T29" s="25">
        <v>0.166</v>
      </c>
      <c r="U29" s="13">
        <v>111.511382516797</v>
      </c>
      <c r="V29" s="25">
        <v>0.037</v>
      </c>
      <c r="W29" s="25">
        <v>0.0495</v>
      </c>
      <c r="X29" s="25">
        <v>0.5865</v>
      </c>
      <c r="Y29" s="18">
        <v>0.784875522484199</v>
      </c>
      <c r="Z29" s="18">
        <v>3.16796111521227</v>
      </c>
    </row>
    <row r="30" s="1" customFormat="1" ht="12.75" spans="1:26">
      <c r="A30" s="7"/>
      <c r="B30" s="7"/>
      <c r="C30" s="7"/>
      <c r="D30" s="7" t="s">
        <v>274</v>
      </c>
      <c r="E30" s="7">
        <v>4</v>
      </c>
      <c r="F30" s="13">
        <v>14.8055712988659</v>
      </c>
      <c r="G30" s="13">
        <v>5742.52334423582</v>
      </c>
      <c r="H30" s="14">
        <v>0.784665151206335</v>
      </c>
      <c r="I30" s="18">
        <v>0.3815</v>
      </c>
      <c r="J30" s="13">
        <v>301.130901552845</v>
      </c>
      <c r="K30" s="13">
        <v>1031.62300000148</v>
      </c>
      <c r="L30" s="13">
        <v>310.613657269725</v>
      </c>
      <c r="M30" s="13">
        <v>920.928514829177</v>
      </c>
      <c r="N30" s="13">
        <v>61.251777988318</v>
      </c>
      <c r="O30" s="13">
        <v>7.5</v>
      </c>
      <c r="P30" s="13">
        <v>6</v>
      </c>
      <c r="Q30" s="26">
        <v>0.0045</v>
      </c>
      <c r="R30" s="18">
        <v>0.592111212849035</v>
      </c>
      <c r="S30" s="18">
        <v>0.078</v>
      </c>
      <c r="T30" s="25">
        <v>0.133</v>
      </c>
      <c r="U30" s="13">
        <v>112.592601717371</v>
      </c>
      <c r="V30" s="25">
        <v>0.0295</v>
      </c>
      <c r="W30" s="25">
        <v>0.0395</v>
      </c>
      <c r="X30" s="18">
        <v>1.36861401540821</v>
      </c>
      <c r="Y30" s="18">
        <v>0.330366763299078</v>
      </c>
      <c r="Z30" s="18">
        <v>1.65619197097262</v>
      </c>
    </row>
    <row r="31" s="1" customFormat="1" ht="12.75" spans="1:26">
      <c r="A31" s="7"/>
      <c r="B31" s="7"/>
      <c r="C31" s="7"/>
      <c r="D31" s="7" t="s">
        <v>274</v>
      </c>
      <c r="E31" s="7">
        <v>5</v>
      </c>
      <c r="F31" s="13">
        <v>22.508911241359</v>
      </c>
      <c r="G31" s="13">
        <v>5417.6516833598</v>
      </c>
      <c r="H31" s="14">
        <v>0.134</v>
      </c>
      <c r="I31" s="18">
        <v>0.3815</v>
      </c>
      <c r="J31" s="13">
        <v>6</v>
      </c>
      <c r="K31" s="13">
        <v>898.716968501055</v>
      </c>
      <c r="L31" s="13">
        <v>337.179502687079</v>
      </c>
      <c r="M31" s="13">
        <v>1000.38309416034</v>
      </c>
      <c r="N31" s="13">
        <v>105.818381568607</v>
      </c>
      <c r="O31" s="13">
        <v>7.5</v>
      </c>
      <c r="P31" s="13">
        <v>6</v>
      </c>
      <c r="Q31" s="24">
        <v>0.074087321235787</v>
      </c>
      <c r="R31" s="18">
        <v>1.14319800793216</v>
      </c>
      <c r="S31" s="18">
        <v>0.078</v>
      </c>
      <c r="T31" s="25">
        <v>0.149</v>
      </c>
      <c r="U31" s="13">
        <v>89.8558191455492</v>
      </c>
      <c r="V31" s="25">
        <v>0.0325</v>
      </c>
      <c r="W31" s="25">
        <v>0.044</v>
      </c>
      <c r="X31" s="25">
        <v>0.524</v>
      </c>
      <c r="Y31" s="18">
        <v>1.45461887955692</v>
      </c>
      <c r="Z31" s="18">
        <v>6.72692833673851</v>
      </c>
    </row>
    <row r="32" s="1" customFormat="1" ht="12.75" spans="1:26">
      <c r="A32" s="7"/>
      <c r="B32" s="7"/>
      <c r="C32" s="7"/>
      <c r="D32" s="7" t="s">
        <v>274</v>
      </c>
      <c r="E32" s="7">
        <v>6</v>
      </c>
      <c r="F32" s="13">
        <v>49.968417265039</v>
      </c>
      <c r="G32" s="13">
        <v>4200.62146609076</v>
      </c>
      <c r="H32" s="14">
        <v>0.134</v>
      </c>
      <c r="I32" s="18">
        <v>0.3815</v>
      </c>
      <c r="J32" s="13">
        <v>246.695087167687</v>
      </c>
      <c r="K32" s="13">
        <v>1262.57296359092</v>
      </c>
      <c r="L32" s="13">
        <v>374.341504516054</v>
      </c>
      <c r="M32" s="13">
        <v>932.68461664641</v>
      </c>
      <c r="N32" s="13">
        <v>69.346878988794</v>
      </c>
      <c r="O32" s="13">
        <v>7.5</v>
      </c>
      <c r="P32" s="13">
        <v>6</v>
      </c>
      <c r="Q32" s="26">
        <v>0.023656557467207</v>
      </c>
      <c r="R32" s="25">
        <v>0.2</v>
      </c>
      <c r="S32" s="18">
        <v>0.078</v>
      </c>
      <c r="T32" s="25">
        <v>0.1455</v>
      </c>
      <c r="U32" s="13">
        <v>117.545663612383</v>
      </c>
      <c r="V32" s="25">
        <v>0.032</v>
      </c>
      <c r="W32" s="25">
        <v>0.043</v>
      </c>
      <c r="X32" s="25">
        <v>0.508</v>
      </c>
      <c r="Y32" s="18">
        <v>0.430853086235911</v>
      </c>
      <c r="Z32" s="18">
        <v>2.02677585517414</v>
      </c>
    </row>
    <row r="33" s="1" customFormat="1" ht="12.75" spans="1:26">
      <c r="A33" s="7"/>
      <c r="B33" s="7"/>
      <c r="C33" s="7"/>
      <c r="D33" s="7" t="s">
        <v>274</v>
      </c>
      <c r="E33" s="7">
        <v>7</v>
      </c>
      <c r="F33" s="13">
        <v>26.9198816513525</v>
      </c>
      <c r="G33" s="13">
        <v>6146.03488834602</v>
      </c>
      <c r="H33" s="14">
        <v>0.634611250684737</v>
      </c>
      <c r="I33" s="18">
        <v>0.3815</v>
      </c>
      <c r="J33" s="13">
        <v>250.953511467214</v>
      </c>
      <c r="K33" s="13">
        <v>974.781148059139</v>
      </c>
      <c r="L33" s="13">
        <v>312.143353255361</v>
      </c>
      <c r="M33" s="13">
        <v>1080.61895423241</v>
      </c>
      <c r="N33" s="13">
        <v>93.60855873736</v>
      </c>
      <c r="O33" s="13">
        <v>7.5</v>
      </c>
      <c r="P33" s="13">
        <v>15.912354784624</v>
      </c>
      <c r="Q33" s="26">
        <v>0.0045</v>
      </c>
      <c r="R33" s="18">
        <v>0.70855452136869</v>
      </c>
      <c r="S33" s="18">
        <v>0.078</v>
      </c>
      <c r="T33" s="25">
        <v>0.1285</v>
      </c>
      <c r="U33" s="13">
        <v>111.375841394589</v>
      </c>
      <c r="V33" s="25">
        <v>0.028</v>
      </c>
      <c r="W33" s="25">
        <v>0.038</v>
      </c>
      <c r="X33" s="25">
        <v>0.4465</v>
      </c>
      <c r="Y33" s="18">
        <v>0.265466631027825</v>
      </c>
      <c r="Z33" s="18">
        <v>4.43750138721853</v>
      </c>
    </row>
    <row r="34" s="1" customFormat="1" ht="12.75" spans="1:26">
      <c r="A34" s="7"/>
      <c r="B34" s="7"/>
      <c r="C34" s="7"/>
      <c r="D34" s="7" t="s">
        <v>274</v>
      </c>
      <c r="E34" s="7">
        <v>8</v>
      </c>
      <c r="F34" s="13">
        <v>33.8101693293393</v>
      </c>
      <c r="G34" s="13">
        <v>5429.43534019763</v>
      </c>
      <c r="H34" s="14">
        <v>0.328113457779456</v>
      </c>
      <c r="I34" s="18">
        <v>0.3815</v>
      </c>
      <c r="J34" s="13">
        <v>71.343772948166</v>
      </c>
      <c r="K34" s="13">
        <v>535.493570910087</v>
      </c>
      <c r="L34" s="13">
        <v>112.052395473984</v>
      </c>
      <c r="M34" s="13">
        <v>661.789157435511</v>
      </c>
      <c r="N34" s="13">
        <v>52.83878154312</v>
      </c>
      <c r="O34" s="13">
        <v>7.5</v>
      </c>
      <c r="P34" s="13">
        <v>6</v>
      </c>
      <c r="Q34" s="26">
        <v>0.013263958025198</v>
      </c>
      <c r="R34" s="18">
        <v>2.29335331781939</v>
      </c>
      <c r="S34" s="18">
        <v>0.078</v>
      </c>
      <c r="T34" s="25">
        <v>0.1775</v>
      </c>
      <c r="U34" s="13">
        <v>134.580744169575</v>
      </c>
      <c r="V34" s="25">
        <v>0.038</v>
      </c>
      <c r="W34" s="25">
        <v>0.0525</v>
      </c>
      <c r="X34" s="18">
        <v>1.85449640004997</v>
      </c>
      <c r="Y34" s="18">
        <v>0.289859585121341</v>
      </c>
      <c r="Z34" s="18">
        <v>1.25600929874773</v>
      </c>
    </row>
    <row r="35" s="1" customFormat="1" ht="12.75" spans="1:26">
      <c r="A35" s="7"/>
      <c r="B35" s="7"/>
      <c r="C35" s="7"/>
      <c r="D35" s="7" t="s">
        <v>274</v>
      </c>
      <c r="E35" s="7">
        <v>9</v>
      </c>
      <c r="F35" s="13">
        <v>18.9569561595076</v>
      </c>
      <c r="G35" s="13">
        <v>5547.05417329127</v>
      </c>
      <c r="H35" s="14">
        <v>0.134</v>
      </c>
      <c r="I35" s="18">
        <v>0.3815</v>
      </c>
      <c r="J35" s="13">
        <v>630.405417174822</v>
      </c>
      <c r="K35" s="13">
        <v>879.209275119289</v>
      </c>
      <c r="L35" s="13">
        <v>103.633976374298</v>
      </c>
      <c r="M35" s="13">
        <v>688.10349191629</v>
      </c>
      <c r="N35" s="13">
        <v>4.5</v>
      </c>
      <c r="O35" s="19">
        <v>35.963829935436</v>
      </c>
      <c r="P35" s="13">
        <v>6</v>
      </c>
      <c r="Q35" s="26">
        <v>0.017403086380994</v>
      </c>
      <c r="R35" s="18">
        <v>2.45036510979472</v>
      </c>
      <c r="S35" s="18">
        <v>0.078</v>
      </c>
      <c r="T35" s="25">
        <v>0.116</v>
      </c>
      <c r="U35" s="13">
        <v>103.228185071521</v>
      </c>
      <c r="V35" s="25">
        <v>0.025</v>
      </c>
      <c r="W35" s="25">
        <v>0.034</v>
      </c>
      <c r="X35" s="25">
        <v>0.404</v>
      </c>
      <c r="Y35" s="18">
        <v>0.374303264998716</v>
      </c>
      <c r="Z35" s="18">
        <v>1.74279134982343</v>
      </c>
    </row>
    <row r="36" s="1" customFormat="1" ht="12.75" spans="1:26">
      <c r="A36" s="7"/>
      <c r="B36" s="7"/>
      <c r="C36" s="7"/>
      <c r="D36" s="7" t="s">
        <v>274</v>
      </c>
      <c r="E36" s="7">
        <v>10</v>
      </c>
      <c r="F36" s="13">
        <v>24.074019082036</v>
      </c>
      <c r="G36" s="13">
        <v>4984.31989988051</v>
      </c>
      <c r="H36" s="14">
        <v>0.552432268454335</v>
      </c>
      <c r="I36" s="18">
        <v>1.5864876614197</v>
      </c>
      <c r="J36" s="13">
        <v>88.079527180001</v>
      </c>
      <c r="K36" s="13">
        <v>866.583561033943</v>
      </c>
      <c r="L36" s="13">
        <v>161.58214093861</v>
      </c>
      <c r="M36" s="13">
        <v>628.710446671205</v>
      </c>
      <c r="N36" s="13">
        <v>4.5</v>
      </c>
      <c r="O36" s="13">
        <v>7.5</v>
      </c>
      <c r="P36" s="13">
        <v>97.324896958075</v>
      </c>
      <c r="Q36" s="26">
        <v>0.0045</v>
      </c>
      <c r="R36" s="18">
        <v>1.32049293938556</v>
      </c>
      <c r="S36" s="18">
        <v>0.275736539053654</v>
      </c>
      <c r="T36" s="25">
        <v>0.123</v>
      </c>
      <c r="U36" s="13">
        <v>97.8788287873397</v>
      </c>
      <c r="V36" s="25">
        <v>0.026</v>
      </c>
      <c r="W36" s="25">
        <v>0.036</v>
      </c>
      <c r="X36" s="25">
        <v>0.4245</v>
      </c>
      <c r="Y36" s="18">
        <v>1.25855413122917</v>
      </c>
      <c r="Z36" s="18">
        <v>4.99571077568634</v>
      </c>
    </row>
    <row r="37" s="1" customFormat="1" ht="12.75" spans="1:26">
      <c r="A37" s="7"/>
      <c r="B37" s="7"/>
      <c r="C37" s="7"/>
      <c r="D37" s="7" t="s">
        <v>274</v>
      </c>
      <c r="E37" s="7">
        <v>11</v>
      </c>
      <c r="F37" s="13">
        <v>44.4223638851483</v>
      </c>
      <c r="G37" s="13">
        <v>3087.05448008001</v>
      </c>
      <c r="H37" s="14">
        <v>0.674925202147828</v>
      </c>
      <c r="I37" s="18">
        <v>0.3815</v>
      </c>
      <c r="J37" s="13">
        <v>605.079570560721</v>
      </c>
      <c r="K37" s="13">
        <v>835.33730442978</v>
      </c>
      <c r="L37" s="13">
        <v>828.008879829032</v>
      </c>
      <c r="M37" s="13">
        <v>776.122947974925</v>
      </c>
      <c r="N37" s="13">
        <v>170.019476898807</v>
      </c>
      <c r="O37" s="13">
        <v>7.5</v>
      </c>
      <c r="P37" s="13">
        <v>6</v>
      </c>
      <c r="Q37" s="26">
        <v>0.029323698406499</v>
      </c>
      <c r="R37" s="18">
        <v>0.465887854831643</v>
      </c>
      <c r="S37" s="18">
        <v>0.078</v>
      </c>
      <c r="T37" s="25">
        <v>0.1605</v>
      </c>
      <c r="U37" s="13">
        <v>116.025121960529</v>
      </c>
      <c r="V37" s="25">
        <v>0.034</v>
      </c>
      <c r="W37" s="18">
        <v>0.340929746732885</v>
      </c>
      <c r="X37" s="18">
        <v>1.78649483957165</v>
      </c>
      <c r="Y37" s="18">
        <v>0.815667348833514</v>
      </c>
      <c r="Z37" s="18">
        <v>2.32427967879498</v>
      </c>
    </row>
    <row r="38" s="1" customFormat="1" ht="12.75" spans="1:26">
      <c r="A38" s="7"/>
      <c r="B38" s="7" t="s">
        <v>223</v>
      </c>
      <c r="C38" s="7" t="s">
        <v>273</v>
      </c>
      <c r="D38" s="7" t="s">
        <v>274</v>
      </c>
      <c r="E38" s="7">
        <v>1</v>
      </c>
      <c r="F38" s="13">
        <v>70.1665121733879</v>
      </c>
      <c r="G38" s="13">
        <v>5984.52746847309</v>
      </c>
      <c r="H38" s="14">
        <v>128.830454378639</v>
      </c>
      <c r="I38" s="18">
        <v>0.3815</v>
      </c>
      <c r="J38" s="13">
        <v>30.419505741893</v>
      </c>
      <c r="K38" s="13">
        <v>1055.24058147682</v>
      </c>
      <c r="L38" s="13">
        <v>361.153161187728</v>
      </c>
      <c r="M38" s="13">
        <v>1222.81958138079</v>
      </c>
      <c r="N38" s="13">
        <v>85.204663885292</v>
      </c>
      <c r="O38" s="13">
        <v>7.5</v>
      </c>
      <c r="P38" s="13">
        <v>19.147619643391</v>
      </c>
      <c r="Q38" s="26">
        <v>0.0045</v>
      </c>
      <c r="R38" s="18">
        <v>4.32013809364627</v>
      </c>
      <c r="S38" s="18">
        <v>0.078</v>
      </c>
      <c r="T38" s="25">
        <v>0.4545</v>
      </c>
      <c r="U38" s="13">
        <v>129.243868239905</v>
      </c>
      <c r="V38" s="25">
        <v>0.096</v>
      </c>
      <c r="W38" s="25">
        <v>0.133</v>
      </c>
      <c r="X38" s="25">
        <v>1.5775</v>
      </c>
      <c r="Y38" s="18">
        <v>1.03431521827908</v>
      </c>
      <c r="Z38" s="18">
        <v>1.54223137966256</v>
      </c>
    </row>
    <row r="39" s="1" customFormat="1" ht="12.75" spans="1:26">
      <c r="A39" s="7"/>
      <c r="B39" s="7"/>
      <c r="C39" s="7"/>
      <c r="D39" s="7" t="s">
        <v>274</v>
      </c>
      <c r="E39" s="7">
        <v>2</v>
      </c>
      <c r="F39" s="13">
        <v>39.7936865878444</v>
      </c>
      <c r="G39" s="13">
        <v>5887.3185709237</v>
      </c>
      <c r="H39" s="14">
        <v>54.7906405916241</v>
      </c>
      <c r="I39" s="18">
        <v>0.3815</v>
      </c>
      <c r="J39" s="13">
        <v>166.460573909001</v>
      </c>
      <c r="K39" s="13">
        <v>1011.25364115385</v>
      </c>
      <c r="L39" s="13">
        <v>517.703269467866</v>
      </c>
      <c r="M39" s="13">
        <v>1146.95259647498</v>
      </c>
      <c r="N39" s="13">
        <v>87.344493289062</v>
      </c>
      <c r="O39" s="13">
        <v>7.5</v>
      </c>
      <c r="P39" s="13">
        <v>20.068894023096</v>
      </c>
      <c r="Q39" s="26">
        <v>0.0045</v>
      </c>
      <c r="R39" s="25">
        <v>0.153</v>
      </c>
      <c r="S39" s="18">
        <v>0.078</v>
      </c>
      <c r="T39" s="25">
        <v>0.114</v>
      </c>
      <c r="U39" s="13">
        <v>119.058077386332</v>
      </c>
      <c r="V39" s="25">
        <v>0.024</v>
      </c>
      <c r="W39" s="25">
        <v>0.033</v>
      </c>
      <c r="X39" s="25">
        <v>0.3935</v>
      </c>
      <c r="Y39" s="18">
        <v>0.357798136899613</v>
      </c>
      <c r="Z39" s="18">
        <v>0.457873102138233</v>
      </c>
    </row>
    <row r="40" s="1" customFormat="1" ht="12.75" spans="1:26">
      <c r="A40" s="7"/>
      <c r="B40" s="7"/>
      <c r="C40" s="7"/>
      <c r="D40" s="7" t="s">
        <v>274</v>
      </c>
      <c r="E40" s="7">
        <v>3</v>
      </c>
      <c r="F40" s="13">
        <v>23.2920908546528</v>
      </c>
      <c r="G40" s="13">
        <v>5811.74355582923</v>
      </c>
      <c r="H40" s="14">
        <v>0.802019066266293</v>
      </c>
      <c r="I40" s="18">
        <v>0.3815</v>
      </c>
      <c r="J40" s="13">
        <v>499.533087550964</v>
      </c>
      <c r="K40" s="13">
        <v>1038.99258753561</v>
      </c>
      <c r="L40" s="13">
        <v>356.603489564653</v>
      </c>
      <c r="M40" s="13">
        <v>997.229826616161</v>
      </c>
      <c r="N40" s="13">
        <v>87.650870952514</v>
      </c>
      <c r="O40" s="13">
        <v>7.5</v>
      </c>
      <c r="P40" s="13">
        <v>34.1174218045595</v>
      </c>
      <c r="Q40" s="26">
        <v>0.0045</v>
      </c>
      <c r="R40" s="25">
        <v>0.195</v>
      </c>
      <c r="S40" s="18">
        <v>0.078</v>
      </c>
      <c r="T40" s="25">
        <v>0.146</v>
      </c>
      <c r="U40" s="13">
        <v>119.020827928091</v>
      </c>
      <c r="V40" s="25">
        <v>0.0305</v>
      </c>
      <c r="W40" s="25">
        <v>0.0425</v>
      </c>
      <c r="X40" s="25">
        <v>0.5035</v>
      </c>
      <c r="Y40" s="18">
        <v>0.404505850863853</v>
      </c>
      <c r="Z40" s="18">
        <v>0.477275289791942</v>
      </c>
    </row>
    <row r="41" s="1" customFormat="1" ht="12.75" spans="1:26">
      <c r="A41" s="7"/>
      <c r="B41" s="7"/>
      <c r="C41" s="7"/>
      <c r="D41" s="7" t="s">
        <v>274</v>
      </c>
      <c r="E41" s="7">
        <v>4</v>
      </c>
      <c r="F41" s="13">
        <v>19.065138748865</v>
      </c>
      <c r="G41" s="13">
        <v>5107.03079314406</v>
      </c>
      <c r="H41" s="14">
        <v>0.399323394539531</v>
      </c>
      <c r="I41" s="18">
        <v>0.3815</v>
      </c>
      <c r="J41" s="13">
        <v>984.322068073595</v>
      </c>
      <c r="K41" s="13">
        <v>1406.02797006639</v>
      </c>
      <c r="L41" s="13">
        <v>657.341691670816</v>
      </c>
      <c r="M41" s="13">
        <v>1151.1829368745</v>
      </c>
      <c r="N41" s="13">
        <v>106.821522730869</v>
      </c>
      <c r="O41" s="13">
        <v>7.5</v>
      </c>
      <c r="P41" s="13">
        <v>6</v>
      </c>
      <c r="Q41" s="26">
        <v>0.0045</v>
      </c>
      <c r="R41" s="18">
        <v>0.85544489009836</v>
      </c>
      <c r="S41" s="18">
        <v>0.078</v>
      </c>
      <c r="T41" s="25">
        <v>0.165</v>
      </c>
      <c r="U41" s="13">
        <v>119.843809427507</v>
      </c>
      <c r="V41" s="25">
        <v>0.0345</v>
      </c>
      <c r="W41" s="25">
        <v>0.048</v>
      </c>
      <c r="X41" s="25">
        <v>0.5695</v>
      </c>
      <c r="Y41" s="18">
        <v>1.58621022812407</v>
      </c>
      <c r="Z41" s="18">
        <v>1.39882433543352</v>
      </c>
    </row>
    <row r="42" s="1" customFormat="1" ht="12.75" spans="1:26">
      <c r="A42" s="7"/>
      <c r="B42" s="7"/>
      <c r="C42" s="7"/>
      <c r="D42" s="7" t="s">
        <v>274</v>
      </c>
      <c r="E42" s="7">
        <v>5</v>
      </c>
      <c r="F42" s="13">
        <v>36.609764393439</v>
      </c>
      <c r="G42" s="13">
        <v>5706.31539307693</v>
      </c>
      <c r="H42" s="14">
        <v>6.37379971819301</v>
      </c>
      <c r="I42" s="18">
        <v>0.3815</v>
      </c>
      <c r="J42" s="13">
        <v>859.994646594078</v>
      </c>
      <c r="K42" s="13">
        <v>553.320754480278</v>
      </c>
      <c r="L42" s="13">
        <v>665.928445622635</v>
      </c>
      <c r="M42" s="13">
        <v>967.826365355627</v>
      </c>
      <c r="N42" s="13">
        <v>23.393307384121</v>
      </c>
      <c r="O42" s="19">
        <v>22.322647394617</v>
      </c>
      <c r="P42" s="13">
        <v>6</v>
      </c>
      <c r="Q42" s="24">
        <v>0.035173694068054</v>
      </c>
      <c r="R42" s="18">
        <v>0.985510108669379</v>
      </c>
      <c r="S42" s="18">
        <v>0.078</v>
      </c>
      <c r="T42" s="25">
        <v>0.2175</v>
      </c>
      <c r="U42" s="13">
        <v>138.273205187088</v>
      </c>
      <c r="V42" s="25">
        <v>0.045</v>
      </c>
      <c r="W42" s="25">
        <v>0.0635</v>
      </c>
      <c r="X42" s="25">
        <v>0.7565</v>
      </c>
      <c r="Y42" s="18">
        <v>0.607333387976017</v>
      </c>
      <c r="Z42" s="18">
        <v>1.376645954145</v>
      </c>
    </row>
    <row r="43" s="1" customFormat="1" ht="12.75" spans="1:26">
      <c r="A43" s="7"/>
      <c r="B43" s="7"/>
      <c r="C43" s="7"/>
      <c r="D43" s="7" t="s">
        <v>274</v>
      </c>
      <c r="E43" s="7">
        <v>6</v>
      </c>
      <c r="F43" s="13">
        <v>27.0776437996853</v>
      </c>
      <c r="G43" s="13">
        <v>5198.33278624395</v>
      </c>
      <c r="H43" s="14">
        <v>15.291435169677</v>
      </c>
      <c r="I43" s="18">
        <v>0.3815</v>
      </c>
      <c r="J43" s="13">
        <v>26.206541112199</v>
      </c>
      <c r="K43" s="13">
        <v>1237.11313123164</v>
      </c>
      <c r="L43" s="13">
        <v>513.587578118033</v>
      </c>
      <c r="M43" s="13">
        <v>1402.89213527589</v>
      </c>
      <c r="N43" s="13">
        <v>15.765182071961</v>
      </c>
      <c r="O43" s="13">
        <v>7.5</v>
      </c>
      <c r="P43" s="13">
        <v>6</v>
      </c>
      <c r="Q43" s="26">
        <v>0.018268357207039</v>
      </c>
      <c r="R43" s="18">
        <v>1.6036579627327</v>
      </c>
      <c r="S43" s="18">
        <v>0.078</v>
      </c>
      <c r="T43" s="25">
        <v>0.339</v>
      </c>
      <c r="U43" s="13">
        <v>129.101043274678</v>
      </c>
      <c r="V43" s="25">
        <v>0.071</v>
      </c>
      <c r="W43" s="25">
        <v>0.0985</v>
      </c>
      <c r="X43" s="25">
        <v>1.181</v>
      </c>
      <c r="Y43" s="18">
        <v>1.23715309371329</v>
      </c>
      <c r="Z43" s="18">
        <v>4.87254061283544</v>
      </c>
    </row>
    <row r="44" s="1" customFormat="1" ht="12.75" spans="1:26">
      <c r="A44" s="7"/>
      <c r="B44" s="7"/>
      <c r="C44" s="7"/>
      <c r="D44" s="7" t="s">
        <v>274</v>
      </c>
      <c r="E44" s="7">
        <v>7</v>
      </c>
      <c r="F44" s="13">
        <v>15.8076362775761</v>
      </c>
      <c r="G44" s="13">
        <v>6364.44478032795</v>
      </c>
      <c r="H44" s="14">
        <v>3.98930304304109</v>
      </c>
      <c r="I44" s="18">
        <v>0.3815</v>
      </c>
      <c r="J44" s="13">
        <v>110.638603538883</v>
      </c>
      <c r="K44" s="13">
        <v>151.375263451329</v>
      </c>
      <c r="L44" s="13">
        <v>67.711354138149</v>
      </c>
      <c r="M44" s="13">
        <v>386.420630096323</v>
      </c>
      <c r="N44" s="13">
        <v>31.243524144326</v>
      </c>
      <c r="O44" s="13">
        <v>7.5</v>
      </c>
      <c r="P44" s="13">
        <v>6</v>
      </c>
      <c r="Q44" s="24">
        <v>0.03914020265231</v>
      </c>
      <c r="R44" s="18">
        <v>2.08951436354132</v>
      </c>
      <c r="S44" s="18">
        <v>0.078</v>
      </c>
      <c r="T44" s="25">
        <v>0.1845</v>
      </c>
      <c r="U44" s="13">
        <v>110.971501642229</v>
      </c>
      <c r="V44" s="25">
        <v>0.038</v>
      </c>
      <c r="W44" s="25">
        <v>0.053</v>
      </c>
      <c r="X44" s="18">
        <v>1.57905489151809</v>
      </c>
      <c r="Y44" s="18">
        <v>0.699596545687252</v>
      </c>
      <c r="Z44" s="18">
        <v>1.42811411633168</v>
      </c>
    </row>
    <row r="45" s="1" customFormat="1" ht="12.75" spans="1:26">
      <c r="A45" s="7"/>
      <c r="B45" s="7"/>
      <c r="C45" s="7"/>
      <c r="D45" s="7" t="s">
        <v>274</v>
      </c>
      <c r="E45" s="7">
        <v>8</v>
      </c>
      <c r="F45" s="13">
        <v>54.3128753718384</v>
      </c>
      <c r="G45" s="13">
        <v>22453.5487552054</v>
      </c>
      <c r="H45" s="14">
        <v>109.297918185043</v>
      </c>
      <c r="I45" s="18">
        <v>3.72139844293667</v>
      </c>
      <c r="J45" s="13">
        <v>360.354298869264</v>
      </c>
      <c r="K45" s="13">
        <v>999.952876824148</v>
      </c>
      <c r="L45" s="13">
        <v>391.540620929284</v>
      </c>
      <c r="M45" s="13">
        <v>1024.50803437464</v>
      </c>
      <c r="N45" s="13">
        <v>106.880115499499</v>
      </c>
      <c r="O45" s="13">
        <v>7.5</v>
      </c>
      <c r="P45" s="13">
        <v>53.302296851837</v>
      </c>
      <c r="Q45" s="26">
        <v>0.0045</v>
      </c>
      <c r="R45" s="18">
        <v>1.65942938771611</v>
      </c>
      <c r="S45" s="18">
        <v>0.078</v>
      </c>
      <c r="T45" s="25">
        <v>0.433</v>
      </c>
      <c r="U45" s="13">
        <v>138.425194668083</v>
      </c>
      <c r="V45" s="25">
        <v>0.0905</v>
      </c>
      <c r="W45" s="25">
        <v>0.1265</v>
      </c>
      <c r="X45" s="25">
        <v>1.5285</v>
      </c>
      <c r="Y45" s="18">
        <v>0.562487293925696</v>
      </c>
      <c r="Z45" s="18">
        <v>0.761103155550331</v>
      </c>
    </row>
    <row r="46" s="1" customFormat="1" ht="12.75" spans="1:26">
      <c r="A46" s="7"/>
      <c r="B46" s="7" t="s">
        <v>218</v>
      </c>
      <c r="C46" s="7" t="s">
        <v>273</v>
      </c>
      <c r="D46" s="7" t="s">
        <v>275</v>
      </c>
      <c r="E46" s="16">
        <v>1</v>
      </c>
      <c r="F46" s="13">
        <v>9901.86307484611</v>
      </c>
      <c r="G46" s="13">
        <v>413489.117469239</v>
      </c>
      <c r="H46" s="14">
        <v>23.7972805071183</v>
      </c>
      <c r="I46" s="18">
        <v>1.54923453542299</v>
      </c>
      <c r="J46" s="13">
        <v>100.93755918302</v>
      </c>
      <c r="K46" s="13">
        <v>466.321784184344</v>
      </c>
      <c r="L46" s="13">
        <v>72.07812413191</v>
      </c>
      <c r="M46" s="13">
        <v>717.74371857256</v>
      </c>
      <c r="N46" s="13">
        <v>17.204400327469</v>
      </c>
      <c r="O46" s="13">
        <v>7.5</v>
      </c>
      <c r="P46" s="13">
        <v>6</v>
      </c>
      <c r="Q46" s="26">
        <v>0.0045</v>
      </c>
      <c r="R46" s="18">
        <v>5.16824832963163</v>
      </c>
      <c r="S46" s="18">
        <v>0.078</v>
      </c>
      <c r="T46" s="25">
        <v>0.109</v>
      </c>
      <c r="U46" s="13">
        <v>78.1460526823829</v>
      </c>
      <c r="V46" s="18">
        <v>0.220922180515032</v>
      </c>
      <c r="W46" s="25">
        <v>0.0355</v>
      </c>
      <c r="X46" s="25">
        <v>0.487</v>
      </c>
      <c r="Y46" s="18">
        <v>0.842399878476284</v>
      </c>
      <c r="Z46" s="18">
        <v>14.180225394387</v>
      </c>
    </row>
    <row r="47" s="1" customFormat="1" ht="12.75" spans="1:26">
      <c r="A47" s="7"/>
      <c r="B47" s="7"/>
      <c r="C47" s="7"/>
      <c r="D47" s="7" t="s">
        <v>275</v>
      </c>
      <c r="E47" s="7">
        <v>2</v>
      </c>
      <c r="F47" s="13">
        <v>13704.8393647939</v>
      </c>
      <c r="G47" s="13">
        <v>348222.335410053</v>
      </c>
      <c r="H47" s="15">
        <v>6897.67430362397</v>
      </c>
      <c r="I47" s="18">
        <v>9.00110768773421</v>
      </c>
      <c r="J47" s="13">
        <v>695.096877342934</v>
      </c>
      <c r="K47" s="13">
        <v>1300.75088979664</v>
      </c>
      <c r="L47" s="13">
        <v>591.368626481544</v>
      </c>
      <c r="M47" s="13">
        <v>1526.25377029361</v>
      </c>
      <c r="N47" s="13">
        <v>148.037740797048</v>
      </c>
      <c r="O47" s="13">
        <v>23.531721953927</v>
      </c>
      <c r="P47" s="13">
        <v>3655.47522486571</v>
      </c>
      <c r="Q47" s="24">
        <v>0.101479525924005</v>
      </c>
      <c r="R47" s="18">
        <v>3.13063805450517</v>
      </c>
      <c r="S47" s="18">
        <v>0.697331909814377</v>
      </c>
      <c r="T47" s="25">
        <v>0.1595</v>
      </c>
      <c r="U47" s="13">
        <v>106.867469046506</v>
      </c>
      <c r="V47" s="25">
        <v>0.0415</v>
      </c>
      <c r="W47" s="25">
        <v>0.051</v>
      </c>
      <c r="X47" s="25">
        <v>0.548</v>
      </c>
      <c r="Y47" s="18">
        <v>0.542908892343559</v>
      </c>
      <c r="Z47" s="18">
        <v>7.23283727027707</v>
      </c>
    </row>
    <row r="48" s="1" customFormat="1" ht="12.75" spans="1:26">
      <c r="A48" s="7"/>
      <c r="B48" s="7"/>
      <c r="C48" s="7"/>
      <c r="D48" s="7" t="s">
        <v>275</v>
      </c>
      <c r="E48" s="7">
        <v>3</v>
      </c>
      <c r="F48" s="13">
        <v>10472.9642389252</v>
      </c>
      <c r="G48" s="13">
        <v>446660.335924534</v>
      </c>
      <c r="H48" s="14">
        <v>12.5253888930056</v>
      </c>
      <c r="I48" s="18">
        <v>3.35418151273592</v>
      </c>
      <c r="J48" s="13">
        <v>559.850790262089</v>
      </c>
      <c r="K48" s="13">
        <v>628.070590813653</v>
      </c>
      <c r="L48" s="13">
        <v>789.508008001234</v>
      </c>
      <c r="M48" s="13">
        <v>1492.40125972833</v>
      </c>
      <c r="N48" s="13">
        <v>251.779971415964</v>
      </c>
      <c r="O48" s="13">
        <v>7.5</v>
      </c>
      <c r="P48" s="13">
        <v>4007.44512645961</v>
      </c>
      <c r="Q48" s="24">
        <v>0.035971480900998</v>
      </c>
      <c r="R48" s="18">
        <v>6.89029615962745</v>
      </c>
      <c r="S48" s="18">
        <v>0.078</v>
      </c>
      <c r="T48" s="18">
        <v>0.293</v>
      </c>
      <c r="U48" s="13">
        <v>103.368375644221</v>
      </c>
      <c r="V48" s="25">
        <v>0.032</v>
      </c>
      <c r="W48" s="18">
        <v>0.301002262114487</v>
      </c>
      <c r="X48" s="18">
        <v>8.73722121635988</v>
      </c>
      <c r="Y48" s="18">
        <v>0.395700198115719</v>
      </c>
      <c r="Z48" s="18">
        <v>4.5474638387202</v>
      </c>
    </row>
    <row r="49" s="1" customFormat="1" ht="12.75" spans="1:26">
      <c r="A49" s="7"/>
      <c r="B49" s="7"/>
      <c r="C49" s="7"/>
      <c r="D49" s="7" t="s">
        <v>275</v>
      </c>
      <c r="E49" s="7">
        <v>4</v>
      </c>
      <c r="F49" s="13">
        <v>11437.3381233712</v>
      </c>
      <c r="G49" s="13">
        <v>402131.387223882</v>
      </c>
      <c r="H49" s="14">
        <v>4.25395301058567</v>
      </c>
      <c r="I49" s="18">
        <v>0.3815</v>
      </c>
      <c r="J49" s="13">
        <v>6</v>
      </c>
      <c r="K49" s="13">
        <v>850.669497998849</v>
      </c>
      <c r="L49" s="13">
        <v>614.220701340243</v>
      </c>
      <c r="M49" s="13">
        <v>1032.71326615289</v>
      </c>
      <c r="N49" s="13">
        <v>46.441699923783</v>
      </c>
      <c r="O49" s="13">
        <v>7.5</v>
      </c>
      <c r="P49" s="13">
        <v>3227.43289573431</v>
      </c>
      <c r="Q49" s="26">
        <v>0.0045</v>
      </c>
      <c r="R49" s="18">
        <v>3.53570087348236</v>
      </c>
      <c r="S49" s="18">
        <v>0.078</v>
      </c>
      <c r="T49" s="18">
        <v>0.863424647778567</v>
      </c>
      <c r="U49" s="13">
        <v>89.8060126286579</v>
      </c>
      <c r="V49" s="25">
        <v>0.037</v>
      </c>
      <c r="W49" s="25">
        <v>0.0515</v>
      </c>
      <c r="X49" s="18">
        <v>2.16834185451296</v>
      </c>
      <c r="Y49" s="18">
        <v>0.318868580074947</v>
      </c>
      <c r="Z49" s="18">
        <v>2.23358202543711</v>
      </c>
    </row>
    <row r="50" s="1" customFormat="1" ht="12.75" spans="1:26">
      <c r="A50" s="7"/>
      <c r="B50" s="7"/>
      <c r="C50" s="7"/>
      <c r="D50" s="7" t="s">
        <v>275</v>
      </c>
      <c r="E50" s="7">
        <v>5</v>
      </c>
      <c r="F50" s="13">
        <v>11474.4123329525</v>
      </c>
      <c r="G50" s="13">
        <v>434731.683024381</v>
      </c>
      <c r="H50" s="14">
        <v>3.98814580741408</v>
      </c>
      <c r="I50" s="18">
        <v>1.03986280031158</v>
      </c>
      <c r="J50" s="13">
        <v>316.35292879945</v>
      </c>
      <c r="K50" s="13">
        <v>562.44089725452</v>
      </c>
      <c r="L50" s="13">
        <v>331.663941511796</v>
      </c>
      <c r="M50" s="13">
        <v>1343.88289873129</v>
      </c>
      <c r="N50" s="13">
        <v>245.796428803756</v>
      </c>
      <c r="O50" s="13">
        <v>7.5</v>
      </c>
      <c r="P50" s="13">
        <v>3745.74159067889</v>
      </c>
      <c r="Q50" s="26">
        <v>0.0045</v>
      </c>
      <c r="R50" s="18">
        <v>2.59400990444091</v>
      </c>
      <c r="S50" s="18">
        <v>0.078</v>
      </c>
      <c r="T50" s="25">
        <v>0.1775</v>
      </c>
      <c r="U50" s="13">
        <v>134.63543926798</v>
      </c>
      <c r="V50" s="25">
        <v>0.0385</v>
      </c>
      <c r="W50" s="25">
        <v>0.0535</v>
      </c>
      <c r="X50" s="18">
        <v>8.74232843294787</v>
      </c>
      <c r="Y50" s="18">
        <v>0.312240361938663</v>
      </c>
      <c r="Z50" s="18">
        <v>4.62815586467999</v>
      </c>
    </row>
    <row r="51" s="1" customFormat="1" ht="12.75" spans="1:26">
      <c r="A51" s="7"/>
      <c r="B51" s="7"/>
      <c r="C51" s="7"/>
      <c r="D51" s="7" t="s">
        <v>275</v>
      </c>
      <c r="E51" s="7">
        <v>6</v>
      </c>
      <c r="F51" s="13">
        <v>10302.334095774</v>
      </c>
      <c r="G51" s="13">
        <v>388674.064517788</v>
      </c>
      <c r="H51" s="14">
        <v>4.56728492861227</v>
      </c>
      <c r="I51" s="18">
        <v>0.861931413284592</v>
      </c>
      <c r="J51" s="13">
        <v>323.830675815052</v>
      </c>
      <c r="K51" s="13">
        <v>741.098813385497</v>
      </c>
      <c r="L51" s="13">
        <v>373.900820915738</v>
      </c>
      <c r="M51" s="13">
        <v>825.415481076604</v>
      </c>
      <c r="N51" s="13">
        <v>198.605910087809</v>
      </c>
      <c r="O51" s="13">
        <v>7.5</v>
      </c>
      <c r="P51" s="13">
        <v>3030.49984818179</v>
      </c>
      <c r="Q51" s="26">
        <v>0.0045</v>
      </c>
      <c r="R51" s="18">
        <v>8.57481374964861</v>
      </c>
      <c r="S51" s="18">
        <v>0.078</v>
      </c>
      <c r="T51" s="18">
        <v>0.628812372071377</v>
      </c>
      <c r="U51" s="13">
        <v>128.566460074953</v>
      </c>
      <c r="V51" s="25">
        <v>0.0385</v>
      </c>
      <c r="W51" s="18">
        <v>0.112403508696044</v>
      </c>
      <c r="X51" s="27">
        <v>46.0254935832822</v>
      </c>
      <c r="Y51" s="18">
        <v>0.411534842905943</v>
      </c>
      <c r="Z51" s="18">
        <v>7.0605100596001</v>
      </c>
    </row>
    <row r="52" s="1" customFormat="1" ht="12.75" spans="1:26">
      <c r="A52" s="7"/>
      <c r="B52" s="7"/>
      <c r="C52" s="7"/>
      <c r="D52" s="7" t="s">
        <v>275</v>
      </c>
      <c r="E52" s="7">
        <v>7</v>
      </c>
      <c r="F52" s="13">
        <v>11738.9851510892</v>
      </c>
      <c r="G52" s="13">
        <v>396522.447535588</v>
      </c>
      <c r="H52" s="14">
        <v>8.13031747099005</v>
      </c>
      <c r="I52" s="18">
        <v>0.3815</v>
      </c>
      <c r="J52" s="13">
        <v>32.073417928591</v>
      </c>
      <c r="K52" s="13">
        <v>316.859955043012</v>
      </c>
      <c r="L52" s="13">
        <v>171.008290449315</v>
      </c>
      <c r="M52" s="13">
        <v>644.729456971753</v>
      </c>
      <c r="N52" s="13">
        <v>10.74740812515</v>
      </c>
      <c r="O52" s="19">
        <v>40.413178784292</v>
      </c>
      <c r="P52" s="13">
        <v>3522.630027905</v>
      </c>
      <c r="Q52" s="26">
        <v>0.0045</v>
      </c>
      <c r="R52" s="18">
        <v>2.48350518274993</v>
      </c>
      <c r="S52" s="18">
        <v>0.078</v>
      </c>
      <c r="T52" s="25">
        <v>0.2365</v>
      </c>
      <c r="U52" s="13">
        <v>122.561716928492</v>
      </c>
      <c r="V52" s="25">
        <v>0.0515</v>
      </c>
      <c r="W52" s="25">
        <v>0.0715</v>
      </c>
      <c r="X52" s="18">
        <v>3.40964634043575</v>
      </c>
      <c r="Y52" s="18">
        <v>0.201185173283766</v>
      </c>
      <c r="Z52" s="18">
        <v>1.8045323567425</v>
      </c>
    </row>
    <row r="53" s="1" customFormat="1" ht="12.75" spans="1:26">
      <c r="A53" s="7"/>
      <c r="B53" s="7"/>
      <c r="C53" s="7"/>
      <c r="D53" s="7" t="s">
        <v>275</v>
      </c>
      <c r="E53" s="7">
        <v>8</v>
      </c>
      <c r="F53" s="13">
        <v>7691.94231957523</v>
      </c>
      <c r="G53" s="13">
        <v>297657.964251392</v>
      </c>
      <c r="H53" s="14">
        <v>3.31328681389857</v>
      </c>
      <c r="I53" s="18">
        <v>1.64246312839951</v>
      </c>
      <c r="J53" s="13">
        <v>1002.926536692</v>
      </c>
      <c r="K53" s="13">
        <v>215.173015691461</v>
      </c>
      <c r="L53" s="13">
        <v>237.316177132761</v>
      </c>
      <c r="M53" s="13">
        <v>583.716608364512</v>
      </c>
      <c r="N53" s="13">
        <v>110.15702242554</v>
      </c>
      <c r="O53" s="13">
        <v>7.5</v>
      </c>
      <c r="P53" s="13">
        <v>2678.24823503052</v>
      </c>
      <c r="Q53" s="26">
        <v>0.011299905268368</v>
      </c>
      <c r="R53" s="18">
        <v>6.43807829967939</v>
      </c>
      <c r="S53" s="18">
        <v>0.078</v>
      </c>
      <c r="T53" s="18">
        <v>0.963498182396441</v>
      </c>
      <c r="U53" s="13">
        <v>102.038293655473</v>
      </c>
      <c r="V53" s="25">
        <v>0.0255</v>
      </c>
      <c r="W53" s="18">
        <v>0.111614676539907</v>
      </c>
      <c r="X53" s="27">
        <v>27.5005894715366</v>
      </c>
      <c r="Y53" s="18">
        <v>1.2741904950289</v>
      </c>
      <c r="Z53" s="18">
        <v>26.8102349710233</v>
      </c>
    </row>
    <row r="54" s="1" customFormat="1" ht="12.75" spans="1:26">
      <c r="A54" s="7"/>
      <c r="B54" s="7"/>
      <c r="C54" s="7"/>
      <c r="D54" s="7" t="s">
        <v>275</v>
      </c>
      <c r="E54" s="7">
        <v>9</v>
      </c>
      <c r="F54" s="13">
        <v>10943.1843368878</v>
      </c>
      <c r="G54" s="13">
        <v>385267.268800698</v>
      </c>
      <c r="H54" s="14">
        <v>10.6425871354428</v>
      </c>
      <c r="I54" s="18">
        <v>0.3815</v>
      </c>
      <c r="J54" s="13">
        <v>431.365344695262</v>
      </c>
      <c r="K54" s="13">
        <v>234.13442474563</v>
      </c>
      <c r="L54" s="13">
        <v>109.415926817629</v>
      </c>
      <c r="M54" s="13">
        <v>343.353283533679</v>
      </c>
      <c r="N54" s="13">
        <v>66.018140769051</v>
      </c>
      <c r="O54" s="13">
        <v>7.5</v>
      </c>
      <c r="P54" s="13">
        <v>2914.18928343085</v>
      </c>
      <c r="Q54" s="26">
        <v>0.0045</v>
      </c>
      <c r="R54" s="18">
        <v>5.97783365641782</v>
      </c>
      <c r="S54" s="18">
        <v>0.078</v>
      </c>
      <c r="T54" s="25">
        <v>0.2305</v>
      </c>
      <c r="U54" s="13">
        <v>100.035604049307</v>
      </c>
      <c r="V54" s="25">
        <v>0.051</v>
      </c>
      <c r="W54" s="25">
        <v>0.0705</v>
      </c>
      <c r="X54" s="18">
        <v>10.4899345321426</v>
      </c>
      <c r="Y54" s="18">
        <v>1.1</v>
      </c>
      <c r="Z54" s="18">
        <v>15.619272562335</v>
      </c>
    </row>
    <row r="55" s="1" customFormat="1" ht="12.75" spans="1:26">
      <c r="A55" s="7"/>
      <c r="B55" s="7"/>
      <c r="C55" s="7"/>
      <c r="D55" s="7" t="s">
        <v>275</v>
      </c>
      <c r="E55" s="7">
        <v>10</v>
      </c>
      <c r="F55" s="13">
        <v>9576.19338914454</v>
      </c>
      <c r="G55" s="13">
        <v>379092.451656433</v>
      </c>
      <c r="H55" s="14">
        <v>2.16762742180459</v>
      </c>
      <c r="I55" s="18">
        <v>0.3815</v>
      </c>
      <c r="J55" s="13">
        <v>139.687509135167</v>
      </c>
      <c r="K55" s="13">
        <v>649.734692642148</v>
      </c>
      <c r="L55" s="13">
        <v>209.964195078848</v>
      </c>
      <c r="M55" s="13">
        <v>872.95327506841</v>
      </c>
      <c r="N55" s="13">
        <v>54.512979118724</v>
      </c>
      <c r="O55" s="13">
        <v>7.5</v>
      </c>
      <c r="P55" s="13">
        <v>2869.302260748</v>
      </c>
      <c r="Q55" s="26">
        <v>0.0045</v>
      </c>
      <c r="R55" s="18">
        <v>3.79534749033266</v>
      </c>
      <c r="S55" s="18">
        <v>0.078</v>
      </c>
      <c r="T55" s="25">
        <v>0.1195</v>
      </c>
      <c r="U55" s="13">
        <v>126.658713642223</v>
      </c>
      <c r="V55" s="25">
        <v>0.027</v>
      </c>
      <c r="W55" s="18">
        <v>0.092975738030361</v>
      </c>
      <c r="X55" s="18">
        <v>12.6281420868932</v>
      </c>
      <c r="Y55" s="18">
        <v>0.174373749524275</v>
      </c>
      <c r="Z55" s="18">
        <v>2.39161874825921</v>
      </c>
    </row>
    <row r="56" s="1" customFormat="1" ht="12.75" spans="1:26">
      <c r="A56" s="7"/>
      <c r="B56" s="7"/>
      <c r="C56" s="7"/>
      <c r="D56" s="7" t="s">
        <v>275</v>
      </c>
      <c r="E56" s="7">
        <v>11</v>
      </c>
      <c r="F56" s="13">
        <v>11319.7575945814</v>
      </c>
      <c r="G56" s="13">
        <v>429271.634928191</v>
      </c>
      <c r="H56" s="14">
        <v>1.14326617543746</v>
      </c>
      <c r="I56" s="18">
        <v>0.3815</v>
      </c>
      <c r="J56" s="13">
        <v>116.513792402643</v>
      </c>
      <c r="K56" s="13">
        <v>642.727352267172</v>
      </c>
      <c r="L56" s="13">
        <v>33.810655588582</v>
      </c>
      <c r="M56" s="13">
        <v>658.616484677774</v>
      </c>
      <c r="N56" s="13">
        <v>239.800672799022</v>
      </c>
      <c r="O56" s="19">
        <v>30.844971632267</v>
      </c>
      <c r="P56" s="13">
        <v>3189.96940942345</v>
      </c>
      <c r="Q56" s="26">
        <v>0.0045</v>
      </c>
      <c r="R56" s="18">
        <v>5.18903959074206</v>
      </c>
      <c r="S56" s="18">
        <v>0.078</v>
      </c>
      <c r="T56" s="18">
        <v>1.05254950209103</v>
      </c>
      <c r="U56" s="13">
        <v>133.403113707969</v>
      </c>
      <c r="V56" s="25">
        <v>0.031</v>
      </c>
      <c r="W56" s="25">
        <v>0.0425</v>
      </c>
      <c r="X56" s="27">
        <v>59.4115648655408</v>
      </c>
      <c r="Y56" s="18">
        <v>0.330774592351041</v>
      </c>
      <c r="Z56" s="18">
        <v>2.01024545403541</v>
      </c>
    </row>
    <row r="57" s="1" customFormat="1" ht="12.75" spans="1:26">
      <c r="A57" s="7"/>
      <c r="B57" s="7" t="s">
        <v>220</v>
      </c>
      <c r="C57" s="7" t="s">
        <v>273</v>
      </c>
      <c r="D57" s="7" t="s">
        <v>275</v>
      </c>
      <c r="E57" s="7">
        <v>1</v>
      </c>
      <c r="F57" s="13">
        <v>11572.9405542604</v>
      </c>
      <c r="G57" s="13">
        <v>376195.331209835</v>
      </c>
      <c r="H57" s="14">
        <v>15.1159056722545</v>
      </c>
      <c r="I57" s="18">
        <v>0.3815</v>
      </c>
      <c r="J57" s="13">
        <v>124.44682567396</v>
      </c>
      <c r="K57" s="13">
        <v>1228.79665426749</v>
      </c>
      <c r="L57" s="13">
        <v>4</v>
      </c>
      <c r="M57" s="13">
        <v>1143.39321319756</v>
      </c>
      <c r="N57" s="13">
        <v>22.22176732048</v>
      </c>
      <c r="O57" s="13">
        <v>7.5</v>
      </c>
      <c r="P57" s="13">
        <v>2451.42110414797</v>
      </c>
      <c r="Q57" s="26">
        <v>0.0045</v>
      </c>
      <c r="R57" s="18">
        <v>6.11842963047649</v>
      </c>
      <c r="S57" s="18">
        <v>0.078</v>
      </c>
      <c r="T57" s="25">
        <v>0.1465</v>
      </c>
      <c r="U57" s="13">
        <v>103.728678022487</v>
      </c>
      <c r="V57" s="25">
        <v>0.033</v>
      </c>
      <c r="W57" s="25">
        <v>0.0455</v>
      </c>
      <c r="X57" s="25">
        <v>0.589</v>
      </c>
      <c r="Y57" s="18">
        <v>0.10497403117765</v>
      </c>
      <c r="Z57" s="18">
        <v>0.429717113339973</v>
      </c>
    </row>
    <row r="58" s="1" customFormat="1" ht="12.75" spans="1:26">
      <c r="A58" s="7"/>
      <c r="B58" s="7"/>
      <c r="C58" s="7"/>
      <c r="D58" s="7" t="s">
        <v>275</v>
      </c>
      <c r="E58" s="7">
        <v>2</v>
      </c>
      <c r="F58" s="13">
        <v>10095.4664368226</v>
      </c>
      <c r="G58" s="13">
        <v>333863.316490128</v>
      </c>
      <c r="H58" s="14">
        <v>8.55554129215727</v>
      </c>
      <c r="I58" s="18">
        <v>0.3815</v>
      </c>
      <c r="J58" s="13">
        <v>81.988946413937</v>
      </c>
      <c r="K58" s="13">
        <v>867.01304604794</v>
      </c>
      <c r="L58" s="13">
        <v>18.588209985817</v>
      </c>
      <c r="M58" s="13">
        <v>1036.61113619671</v>
      </c>
      <c r="N58" s="13">
        <v>23.712826786722</v>
      </c>
      <c r="O58" s="13">
        <v>7.5</v>
      </c>
      <c r="P58" s="13">
        <v>2659.86287982654</v>
      </c>
      <c r="Q58" s="26">
        <v>0.0045</v>
      </c>
      <c r="R58" s="18">
        <v>3.62664658907393</v>
      </c>
      <c r="S58" s="18">
        <v>0.078</v>
      </c>
      <c r="T58" s="18">
        <v>0.372670032871697</v>
      </c>
      <c r="U58" s="13">
        <v>83.912693528701</v>
      </c>
      <c r="V58" s="25">
        <v>0.042</v>
      </c>
      <c r="W58" s="25">
        <v>0.058</v>
      </c>
      <c r="X58" s="25">
        <v>0.757</v>
      </c>
      <c r="Y58" s="18">
        <v>0.067951121077134</v>
      </c>
      <c r="Z58" s="25">
        <v>0.077</v>
      </c>
    </row>
    <row r="59" s="1" customFormat="1" ht="12.75" spans="1:26">
      <c r="A59" s="7"/>
      <c r="B59" s="7"/>
      <c r="C59" s="7"/>
      <c r="D59" s="7" t="s">
        <v>275</v>
      </c>
      <c r="E59" s="7">
        <v>3</v>
      </c>
      <c r="F59" s="13">
        <v>10628.9817027044</v>
      </c>
      <c r="G59" s="13">
        <v>380974.545711579</v>
      </c>
      <c r="H59" s="14">
        <v>7.13726135016758</v>
      </c>
      <c r="I59" s="18">
        <v>0.3815</v>
      </c>
      <c r="J59" s="13">
        <v>196.394462403444</v>
      </c>
      <c r="K59" s="13">
        <v>676.41213239859</v>
      </c>
      <c r="L59" s="13">
        <v>12.752727880289</v>
      </c>
      <c r="M59" s="13">
        <v>709.378603153037</v>
      </c>
      <c r="N59" s="13">
        <v>43.315430985694</v>
      </c>
      <c r="O59" s="13">
        <v>7.5</v>
      </c>
      <c r="P59" s="13">
        <v>3212.18671190939</v>
      </c>
      <c r="Q59" s="26">
        <v>0.0045</v>
      </c>
      <c r="R59" s="18">
        <v>4.66368230385482</v>
      </c>
      <c r="S59" s="18">
        <v>0.078</v>
      </c>
      <c r="T59" s="25">
        <v>0.2025</v>
      </c>
      <c r="U59" s="13">
        <v>107.590041682389</v>
      </c>
      <c r="V59" s="25">
        <v>0.046</v>
      </c>
      <c r="W59" s="25">
        <v>0.063</v>
      </c>
      <c r="X59" s="18">
        <v>2.11506947891553</v>
      </c>
      <c r="Y59" s="18">
        <v>0.089886673875695</v>
      </c>
      <c r="Z59" s="18">
        <v>0.202799459613689</v>
      </c>
    </row>
    <row r="60" s="1" customFormat="1" ht="12.75" spans="1:26">
      <c r="A60" s="7"/>
      <c r="B60" s="7"/>
      <c r="C60" s="7"/>
      <c r="D60" s="7" t="s">
        <v>275</v>
      </c>
      <c r="E60" s="7">
        <v>4</v>
      </c>
      <c r="F60" s="13">
        <v>10059.3941837649</v>
      </c>
      <c r="G60" s="13">
        <v>319973.020687259</v>
      </c>
      <c r="H60" s="14">
        <v>9.69908131124681</v>
      </c>
      <c r="I60" s="18">
        <v>1.08130239160696</v>
      </c>
      <c r="J60" s="13">
        <v>48.63962954492</v>
      </c>
      <c r="K60" s="13">
        <v>507.166159139206</v>
      </c>
      <c r="L60" s="13">
        <v>22.460950710656</v>
      </c>
      <c r="M60" s="13">
        <v>947.447998830976</v>
      </c>
      <c r="N60" s="13">
        <v>24.161404226804</v>
      </c>
      <c r="O60" s="19">
        <v>104.379612072825</v>
      </c>
      <c r="P60" s="13">
        <v>3791.33567401521</v>
      </c>
      <c r="Q60" s="26">
        <v>0.0045</v>
      </c>
      <c r="R60" s="18">
        <v>5.49008162017372</v>
      </c>
      <c r="S60" s="18">
        <v>0.078</v>
      </c>
      <c r="T60" s="18">
        <v>1.04</v>
      </c>
      <c r="U60" s="13">
        <v>93.9081052299035</v>
      </c>
      <c r="V60" s="25">
        <v>0.026</v>
      </c>
      <c r="W60" s="25">
        <v>0.0355</v>
      </c>
      <c r="X60" s="18">
        <v>1.97235595886848</v>
      </c>
      <c r="Y60" s="18">
        <v>0.059670647618831</v>
      </c>
      <c r="Z60" s="18">
        <v>0.166159314106506</v>
      </c>
    </row>
    <row r="61" s="1" customFormat="1" ht="12.75" spans="1:26">
      <c r="A61" s="7"/>
      <c r="B61" s="7"/>
      <c r="C61" s="7"/>
      <c r="D61" s="7" t="s">
        <v>275</v>
      </c>
      <c r="E61" s="7">
        <v>5</v>
      </c>
      <c r="F61" s="13">
        <v>10779.1397498235</v>
      </c>
      <c r="G61" s="13">
        <v>364010.038165632</v>
      </c>
      <c r="H61" s="14">
        <v>7.06074455993793</v>
      </c>
      <c r="I61" s="18">
        <v>0.3815</v>
      </c>
      <c r="J61" s="13">
        <v>61.566251161176</v>
      </c>
      <c r="K61" s="13">
        <v>1429.99944078969</v>
      </c>
      <c r="L61" s="13">
        <v>17.395118568692</v>
      </c>
      <c r="M61" s="13">
        <v>1050.39014615445</v>
      </c>
      <c r="N61" s="13">
        <v>90.414774909429</v>
      </c>
      <c r="O61" s="13">
        <v>7.5</v>
      </c>
      <c r="P61" s="13">
        <v>2863.49331574141</v>
      </c>
      <c r="Q61" s="26">
        <v>0.0045</v>
      </c>
      <c r="R61" s="18">
        <v>5.08700009861635</v>
      </c>
      <c r="S61" s="18">
        <v>0.078</v>
      </c>
      <c r="T61" s="18">
        <v>1.42084739023053</v>
      </c>
      <c r="U61" s="13">
        <v>110.674655699137</v>
      </c>
      <c r="V61" s="25">
        <v>0.029</v>
      </c>
      <c r="W61" s="25">
        <v>0.0395</v>
      </c>
      <c r="X61" s="18">
        <v>10.3294256511639</v>
      </c>
      <c r="Y61" s="18">
        <v>0.089728881476842</v>
      </c>
      <c r="Z61" s="18">
        <v>0.379915534139098</v>
      </c>
    </row>
    <row r="62" s="1" customFormat="1" ht="12.75" spans="1:26">
      <c r="A62" s="7"/>
      <c r="B62" s="7"/>
      <c r="C62" s="7"/>
      <c r="D62" s="7" t="s">
        <v>275</v>
      </c>
      <c r="E62" s="7">
        <v>6</v>
      </c>
      <c r="F62" s="13">
        <v>11159.9141586342</v>
      </c>
      <c r="G62" s="13">
        <v>388112.366257559</v>
      </c>
      <c r="H62" s="14">
        <v>7.3553146034696</v>
      </c>
      <c r="I62" s="18">
        <v>0.3815</v>
      </c>
      <c r="J62" s="13">
        <v>99.383685903745</v>
      </c>
      <c r="K62" s="13">
        <v>1106.04339200728</v>
      </c>
      <c r="L62" s="13">
        <v>46.825560215155</v>
      </c>
      <c r="M62" s="13">
        <v>1041.1717335877</v>
      </c>
      <c r="N62" s="13">
        <v>124.669446408754</v>
      </c>
      <c r="O62" s="13">
        <v>7.5</v>
      </c>
      <c r="P62" s="13">
        <v>2988.12556902236</v>
      </c>
      <c r="Q62" s="26">
        <v>0.0045</v>
      </c>
      <c r="R62" s="18">
        <v>4.06212634511812</v>
      </c>
      <c r="S62" s="18">
        <v>0.078</v>
      </c>
      <c r="T62" s="18">
        <v>0.817387461074312</v>
      </c>
      <c r="U62" s="13">
        <v>88.5265727342949</v>
      </c>
      <c r="V62" s="25">
        <v>0.0445</v>
      </c>
      <c r="W62" s="25">
        <v>0.0605</v>
      </c>
      <c r="X62" s="18">
        <v>2.69601087615243</v>
      </c>
      <c r="Y62" s="18">
        <v>0.065487688221187</v>
      </c>
      <c r="Z62" s="25">
        <v>0.0825</v>
      </c>
    </row>
    <row r="63" s="1" customFormat="1" ht="12.75" spans="1:26">
      <c r="A63" s="7"/>
      <c r="B63" s="7"/>
      <c r="C63" s="7"/>
      <c r="D63" s="7" t="s">
        <v>275</v>
      </c>
      <c r="E63" s="7">
        <v>7</v>
      </c>
      <c r="F63" s="13">
        <v>10837.5858167126</v>
      </c>
      <c r="G63" s="13">
        <v>375811.227349206</v>
      </c>
      <c r="H63" s="14">
        <v>12.0613716769744</v>
      </c>
      <c r="I63" s="18">
        <v>0.3815</v>
      </c>
      <c r="J63" s="13">
        <v>66.736311549362</v>
      </c>
      <c r="K63" s="13">
        <v>143.614135805549</v>
      </c>
      <c r="L63" s="13">
        <v>4</v>
      </c>
      <c r="M63" s="13">
        <v>339.799320555857</v>
      </c>
      <c r="N63" s="13">
        <v>4.5</v>
      </c>
      <c r="O63" s="13">
        <v>20.180410379508</v>
      </c>
      <c r="P63" s="13">
        <v>3047.90185678916</v>
      </c>
      <c r="Q63" s="26">
        <v>0.0045</v>
      </c>
      <c r="R63" s="18">
        <v>8.71329234911951</v>
      </c>
      <c r="S63" s="18">
        <v>0.078</v>
      </c>
      <c r="T63" s="18">
        <v>0.961</v>
      </c>
      <c r="U63" s="13">
        <v>147.675661958499</v>
      </c>
      <c r="V63" s="25">
        <v>0.0715</v>
      </c>
      <c r="W63" s="25">
        <v>0.0965</v>
      </c>
      <c r="X63" s="27">
        <v>32.5931021938979</v>
      </c>
      <c r="Y63" s="25">
        <v>0.0285</v>
      </c>
      <c r="Z63" s="25">
        <v>0.1315</v>
      </c>
    </row>
    <row r="64" s="1" customFormat="1" ht="12.75" spans="1:26">
      <c r="A64" s="7"/>
      <c r="B64" s="7"/>
      <c r="C64" s="7"/>
      <c r="D64" s="7" t="s">
        <v>275</v>
      </c>
      <c r="E64" s="7">
        <v>8</v>
      </c>
      <c r="F64" s="13">
        <v>10844.9150135404</v>
      </c>
      <c r="G64" s="13">
        <v>363699.549365671</v>
      </c>
      <c r="H64" s="14">
        <v>24.3947116220362</v>
      </c>
      <c r="I64" s="18">
        <v>0.3815</v>
      </c>
      <c r="J64" s="13">
        <v>6</v>
      </c>
      <c r="K64" s="13">
        <v>374.301894214847</v>
      </c>
      <c r="L64" s="13">
        <v>15.091530273268</v>
      </c>
      <c r="M64" s="13">
        <v>332.366609288671</v>
      </c>
      <c r="N64" s="13">
        <v>127.257296811531</v>
      </c>
      <c r="O64" s="13">
        <v>7.5</v>
      </c>
      <c r="P64" s="13">
        <v>2504.18269488479</v>
      </c>
      <c r="Q64" s="26">
        <v>0.0045</v>
      </c>
      <c r="R64" s="18">
        <v>4.03720664907342</v>
      </c>
      <c r="S64" s="18">
        <v>0.078</v>
      </c>
      <c r="T64" s="25">
        <v>0.1855</v>
      </c>
      <c r="U64" s="13">
        <v>95.4719891012482</v>
      </c>
      <c r="V64" s="25">
        <v>0.043</v>
      </c>
      <c r="W64" s="25">
        <v>0.0585</v>
      </c>
      <c r="X64" s="25">
        <v>0.7755</v>
      </c>
      <c r="Y64" s="25">
        <v>0.0175</v>
      </c>
      <c r="Z64" s="25">
        <v>0.0805</v>
      </c>
    </row>
    <row r="65" s="1" customFormat="1" ht="12.75" spans="1:26">
      <c r="A65" s="7"/>
      <c r="B65" s="7"/>
      <c r="C65" s="7"/>
      <c r="D65" s="7" t="s">
        <v>275</v>
      </c>
      <c r="E65" s="7">
        <v>9</v>
      </c>
      <c r="F65" s="13">
        <v>11146.7980565716</v>
      </c>
      <c r="G65" s="13">
        <v>431868.56355922</v>
      </c>
      <c r="H65" s="14">
        <v>8.02889202976724</v>
      </c>
      <c r="I65" s="18">
        <v>0.3815</v>
      </c>
      <c r="J65" s="13">
        <v>95.372143081764</v>
      </c>
      <c r="K65" s="13">
        <v>492.557283308996</v>
      </c>
      <c r="L65" s="13">
        <v>9.441576578737</v>
      </c>
      <c r="M65" s="13">
        <v>649.948584966414</v>
      </c>
      <c r="N65" s="13">
        <v>4.5</v>
      </c>
      <c r="O65" s="13">
        <v>7.5</v>
      </c>
      <c r="P65" s="13">
        <v>2955.75900376328</v>
      </c>
      <c r="Q65" s="26">
        <v>0.0045</v>
      </c>
      <c r="R65" s="18">
        <v>12.9378588213034</v>
      </c>
      <c r="S65" s="18">
        <v>0.078</v>
      </c>
      <c r="T65" s="25">
        <v>0.217</v>
      </c>
      <c r="U65" s="13">
        <v>119.630847515765</v>
      </c>
      <c r="V65" s="25">
        <v>0.051</v>
      </c>
      <c r="W65" s="25">
        <v>0.069</v>
      </c>
      <c r="X65" s="25">
        <v>0.92</v>
      </c>
      <c r="Y65" s="18">
        <v>0.09855994375092</v>
      </c>
      <c r="Z65" s="18">
        <v>0.342260902620976</v>
      </c>
    </row>
    <row r="66" s="1" customFormat="1" ht="12.75" spans="1:26">
      <c r="A66" s="7"/>
      <c r="B66" s="7"/>
      <c r="C66" s="7"/>
      <c r="D66" s="7" t="s">
        <v>275</v>
      </c>
      <c r="E66" s="7">
        <v>10</v>
      </c>
      <c r="F66" s="13">
        <v>10031.4680641238</v>
      </c>
      <c r="G66" s="13">
        <v>400388.306772545</v>
      </c>
      <c r="H66" s="14">
        <v>9.54927618871506</v>
      </c>
      <c r="I66" s="18">
        <v>0.3815</v>
      </c>
      <c r="J66" s="13">
        <v>16.627875409373</v>
      </c>
      <c r="K66" s="13">
        <v>1518.65995868157</v>
      </c>
      <c r="L66" s="13">
        <v>73.812636484646</v>
      </c>
      <c r="M66" s="13">
        <v>1886.10819909377</v>
      </c>
      <c r="N66" s="13">
        <v>28.48855241173</v>
      </c>
      <c r="O66" s="13">
        <v>7.5</v>
      </c>
      <c r="P66" s="13">
        <v>2643.61188181644</v>
      </c>
      <c r="Q66" s="26">
        <v>0.0045</v>
      </c>
      <c r="R66" s="18">
        <v>6.20887473508451</v>
      </c>
      <c r="S66" s="18">
        <v>0.078</v>
      </c>
      <c r="T66" s="18">
        <v>2.53531478527865</v>
      </c>
      <c r="U66" s="13">
        <v>133.392339141064</v>
      </c>
      <c r="V66" s="25">
        <v>0.0525</v>
      </c>
      <c r="W66" s="25">
        <v>0.071</v>
      </c>
      <c r="X66" s="18">
        <v>2.23490149185473</v>
      </c>
      <c r="Y66" s="18">
        <v>0.252983793632284</v>
      </c>
      <c r="Z66" s="18">
        <v>0.603655782055922</v>
      </c>
    </row>
    <row r="67" s="1" customFormat="1" ht="12.75" spans="1:26">
      <c r="A67" s="7"/>
      <c r="B67" s="7" t="s">
        <v>221</v>
      </c>
      <c r="C67" s="7" t="s">
        <v>273</v>
      </c>
      <c r="D67" s="7" t="s">
        <v>275</v>
      </c>
      <c r="E67" s="7">
        <v>1</v>
      </c>
      <c r="F67" s="13">
        <v>11315.5510051134</v>
      </c>
      <c r="G67" s="13">
        <v>429205.446890816</v>
      </c>
      <c r="H67" s="14">
        <v>6.19972657261796</v>
      </c>
      <c r="I67" s="18">
        <v>0.3815</v>
      </c>
      <c r="J67" s="13">
        <v>6</v>
      </c>
      <c r="K67" s="13">
        <v>206.468486656905</v>
      </c>
      <c r="L67" s="13">
        <v>497.708970969611</v>
      </c>
      <c r="M67" s="13">
        <v>555.243898182589</v>
      </c>
      <c r="N67" s="13">
        <v>1311.4199933911</v>
      </c>
      <c r="O67" s="19">
        <v>42.160590286135</v>
      </c>
      <c r="P67" s="13">
        <v>2813.01529111343</v>
      </c>
      <c r="Q67" s="26">
        <v>0.0045</v>
      </c>
      <c r="R67" s="18">
        <v>4.09495601114018</v>
      </c>
      <c r="S67" s="18">
        <v>0.078</v>
      </c>
      <c r="T67" s="25">
        <v>0.137</v>
      </c>
      <c r="U67" s="13">
        <v>112.611860829088</v>
      </c>
      <c r="V67" s="25">
        <v>0.0335</v>
      </c>
      <c r="W67" s="25">
        <v>0.045</v>
      </c>
      <c r="X67" s="27">
        <v>27.9609100178206</v>
      </c>
      <c r="Y67" s="18">
        <v>0.059218904127865</v>
      </c>
      <c r="Z67" s="18">
        <v>0.300684086517711</v>
      </c>
    </row>
    <row r="68" s="1" customFormat="1" ht="12.75" spans="1:26">
      <c r="A68" s="7"/>
      <c r="B68" s="7"/>
      <c r="C68" s="7"/>
      <c r="D68" s="7" t="s">
        <v>275</v>
      </c>
      <c r="E68" s="7">
        <v>2</v>
      </c>
      <c r="F68" s="13">
        <v>9313.49722772153</v>
      </c>
      <c r="G68" s="13">
        <v>379144.210972838</v>
      </c>
      <c r="H68" s="14">
        <v>10.1514911871931</v>
      </c>
      <c r="I68" s="18">
        <v>1.02088037645102</v>
      </c>
      <c r="J68" s="13">
        <v>48.877642358491</v>
      </c>
      <c r="K68" s="13">
        <v>1637.36130023639</v>
      </c>
      <c r="L68" s="13">
        <v>607.416036074645</v>
      </c>
      <c r="M68" s="13">
        <v>1081.59100195731</v>
      </c>
      <c r="N68" s="13">
        <v>2683.69095431667</v>
      </c>
      <c r="O68" s="13">
        <v>7.5</v>
      </c>
      <c r="P68" s="13">
        <v>2645.88704812376</v>
      </c>
      <c r="Q68" s="26">
        <v>0.0045</v>
      </c>
      <c r="R68" s="18">
        <v>8.77119899837728</v>
      </c>
      <c r="S68" s="18">
        <v>0.078</v>
      </c>
      <c r="T68" s="25">
        <v>0.1795</v>
      </c>
      <c r="U68" s="13">
        <v>116.528074757921</v>
      </c>
      <c r="V68" s="25">
        <v>0.044</v>
      </c>
      <c r="W68" s="25">
        <v>0.0595</v>
      </c>
      <c r="X68" s="27">
        <v>35.9656601673415</v>
      </c>
      <c r="Y68" s="18">
        <v>0.81051131506929</v>
      </c>
      <c r="Z68" s="18">
        <v>6.55648711425369</v>
      </c>
    </row>
    <row r="69" s="1" customFormat="1" ht="12.75" spans="1:26">
      <c r="A69" s="7"/>
      <c r="B69" s="7"/>
      <c r="C69" s="7"/>
      <c r="D69" s="7" t="s">
        <v>275</v>
      </c>
      <c r="E69" s="7">
        <v>3</v>
      </c>
      <c r="F69" s="13">
        <v>10871.9755326829</v>
      </c>
      <c r="G69" s="13">
        <v>447330.520516618</v>
      </c>
      <c r="H69" s="14">
        <v>21.3208891457336</v>
      </c>
      <c r="I69" s="18">
        <v>0.858277664126421</v>
      </c>
      <c r="J69" s="13">
        <v>46.40569054258</v>
      </c>
      <c r="K69" s="13">
        <v>824.223860727057</v>
      </c>
      <c r="L69" s="13">
        <v>111.299019453086</v>
      </c>
      <c r="M69" s="13">
        <v>846.299839791792</v>
      </c>
      <c r="N69" s="13">
        <v>46.803209280085</v>
      </c>
      <c r="O69" s="13">
        <v>7.5</v>
      </c>
      <c r="P69" s="13">
        <v>3786.76186550689</v>
      </c>
      <c r="Q69" s="24">
        <v>0.315782599674806</v>
      </c>
      <c r="R69" s="18">
        <v>6.35015840945833</v>
      </c>
      <c r="S69" s="18">
        <v>0.078</v>
      </c>
      <c r="T69" s="25">
        <v>0.163</v>
      </c>
      <c r="U69" s="13">
        <v>95.9225466794792</v>
      </c>
      <c r="V69" s="25">
        <v>0.04</v>
      </c>
      <c r="W69" s="25">
        <v>0.054</v>
      </c>
      <c r="X69" s="25">
        <v>0.737</v>
      </c>
      <c r="Y69" s="18">
        <v>0.725252819581982</v>
      </c>
      <c r="Z69" s="18">
        <v>3.72434720856682</v>
      </c>
    </row>
    <row r="70" s="1" customFormat="1" ht="12.75" spans="1:26">
      <c r="A70" s="7"/>
      <c r="B70" s="7"/>
      <c r="C70" s="7"/>
      <c r="D70" s="7" t="s">
        <v>275</v>
      </c>
      <c r="E70" s="7">
        <v>4</v>
      </c>
      <c r="F70" s="13">
        <v>10420.0158709564</v>
      </c>
      <c r="G70" s="13">
        <v>408778.578828099</v>
      </c>
      <c r="H70" s="14">
        <v>12.134243839619</v>
      </c>
      <c r="I70" s="18">
        <v>0.3815</v>
      </c>
      <c r="J70" s="13">
        <v>6</v>
      </c>
      <c r="K70" s="13">
        <v>31</v>
      </c>
      <c r="L70" s="13">
        <v>4</v>
      </c>
      <c r="M70" s="13">
        <v>273.60940535893</v>
      </c>
      <c r="N70" s="13">
        <v>101.73959988304</v>
      </c>
      <c r="O70" s="19">
        <v>57.564626237109</v>
      </c>
      <c r="P70" s="13">
        <v>3666.85054044756</v>
      </c>
      <c r="Q70" s="26">
        <v>0.0045</v>
      </c>
      <c r="R70" s="18">
        <v>2.7358650088664</v>
      </c>
      <c r="S70" s="18">
        <v>0.373186344907204</v>
      </c>
      <c r="T70" s="18">
        <v>0.424051871278626</v>
      </c>
      <c r="U70" s="13">
        <v>101.244701695277</v>
      </c>
      <c r="V70" s="25">
        <v>0.0335</v>
      </c>
      <c r="W70" s="25">
        <v>0.045</v>
      </c>
      <c r="X70" s="18">
        <v>16.653412613235</v>
      </c>
      <c r="Y70" s="18">
        <v>0.135895307570052</v>
      </c>
      <c r="Z70" s="18">
        <v>0.891336096956207</v>
      </c>
    </row>
    <row r="71" s="1" customFormat="1" ht="12.75" spans="1:26">
      <c r="A71" s="7"/>
      <c r="B71" s="7"/>
      <c r="C71" s="7"/>
      <c r="D71" s="7" t="s">
        <v>275</v>
      </c>
      <c r="E71" s="7">
        <v>5</v>
      </c>
      <c r="F71" s="13">
        <v>10382.5521009274</v>
      </c>
      <c r="G71" s="13">
        <v>422934.779336685</v>
      </c>
      <c r="H71" s="14">
        <v>15.0876925160998</v>
      </c>
      <c r="I71" s="18">
        <v>0.3815</v>
      </c>
      <c r="J71" s="13">
        <v>6</v>
      </c>
      <c r="K71" s="13">
        <v>31</v>
      </c>
      <c r="L71" s="13">
        <v>56.843625327936</v>
      </c>
      <c r="M71" s="13">
        <v>284.447710528833</v>
      </c>
      <c r="N71" s="13">
        <v>31.285660303487</v>
      </c>
      <c r="O71" s="13">
        <v>7.5</v>
      </c>
      <c r="P71" s="13">
        <v>2670.58702756438</v>
      </c>
      <c r="Q71" s="26">
        <v>0.0045</v>
      </c>
      <c r="R71" s="18">
        <v>11.337300992793</v>
      </c>
      <c r="S71" s="18">
        <v>0.078</v>
      </c>
      <c r="T71" s="25">
        <v>0.1825</v>
      </c>
      <c r="U71" s="13">
        <v>121.562295244033</v>
      </c>
      <c r="V71" s="25">
        <v>0.045</v>
      </c>
      <c r="W71" s="25">
        <v>0.061</v>
      </c>
      <c r="X71" s="27">
        <v>27.4662147110276</v>
      </c>
      <c r="Y71" s="18">
        <v>0.0729229291902</v>
      </c>
      <c r="Z71" s="18">
        <v>0.648055070187496</v>
      </c>
    </row>
    <row r="72" s="1" customFormat="1" ht="12.75" spans="1:26">
      <c r="A72" s="7"/>
      <c r="B72" s="7"/>
      <c r="C72" s="7"/>
      <c r="D72" s="7" t="s">
        <v>275</v>
      </c>
      <c r="E72" s="7">
        <v>6</v>
      </c>
      <c r="F72" s="13">
        <v>10962.0732817217</v>
      </c>
      <c r="G72" s="13">
        <v>382056.800332976</v>
      </c>
      <c r="H72" s="14">
        <v>10.4076774897174</v>
      </c>
      <c r="I72" s="18">
        <v>0.3815</v>
      </c>
      <c r="J72" s="13">
        <v>20.019346137955</v>
      </c>
      <c r="K72" s="13">
        <v>234.174957564827</v>
      </c>
      <c r="L72" s="13">
        <v>161.619227741928</v>
      </c>
      <c r="M72" s="13">
        <v>2218.66178689429</v>
      </c>
      <c r="N72" s="13">
        <v>1438.79539774489</v>
      </c>
      <c r="O72" s="13">
        <v>7.5</v>
      </c>
      <c r="P72" s="13">
        <v>3013.96002173163</v>
      </c>
      <c r="Q72" s="26">
        <v>0.0045</v>
      </c>
      <c r="R72" s="18">
        <v>5.11175723312143</v>
      </c>
      <c r="S72" s="18">
        <v>0.078</v>
      </c>
      <c r="T72" s="18">
        <v>0.31975045734988</v>
      </c>
      <c r="U72" s="13">
        <v>173.252429442389</v>
      </c>
      <c r="V72" s="25">
        <v>0.035</v>
      </c>
      <c r="W72" s="25">
        <v>0.0475</v>
      </c>
      <c r="X72" s="27">
        <v>74.2373277433861</v>
      </c>
      <c r="Y72" s="25">
        <v>0.0145</v>
      </c>
      <c r="Z72" s="18">
        <v>0.295004094235577</v>
      </c>
    </row>
    <row r="73" s="1" customFormat="1" ht="12.75" spans="1:26">
      <c r="A73" s="7"/>
      <c r="B73" s="7"/>
      <c r="C73" s="7"/>
      <c r="D73" s="7" t="s">
        <v>275</v>
      </c>
      <c r="E73" s="7">
        <v>7</v>
      </c>
      <c r="F73" s="13">
        <v>10346.9799509296</v>
      </c>
      <c r="G73" s="13">
        <v>394912.331849821</v>
      </c>
      <c r="H73" s="14">
        <v>12.3537513680671</v>
      </c>
      <c r="I73" s="18">
        <v>0.3815</v>
      </c>
      <c r="J73" s="13">
        <v>24.753874006372</v>
      </c>
      <c r="K73" s="13">
        <v>31</v>
      </c>
      <c r="L73" s="13">
        <v>30.608944602656</v>
      </c>
      <c r="M73" s="13">
        <v>209.596241316414</v>
      </c>
      <c r="N73" s="13">
        <v>111.987664463735</v>
      </c>
      <c r="O73" s="13">
        <v>7.5</v>
      </c>
      <c r="P73" s="13">
        <v>2633.99307577188</v>
      </c>
      <c r="Q73" s="26">
        <v>0.0045</v>
      </c>
      <c r="R73" s="18">
        <v>11.1992841706169</v>
      </c>
      <c r="S73" s="18">
        <v>0.078</v>
      </c>
      <c r="T73" s="25">
        <v>0.1355</v>
      </c>
      <c r="U73" s="13">
        <v>90.7278341250819</v>
      </c>
      <c r="V73" s="25">
        <v>0.0335</v>
      </c>
      <c r="W73" s="25">
        <v>0.0455</v>
      </c>
      <c r="X73" s="25">
        <v>0.6215</v>
      </c>
      <c r="Y73" s="18">
        <v>0.145103356707749</v>
      </c>
      <c r="Z73" s="18">
        <v>1.1449248658598</v>
      </c>
    </row>
    <row r="74" s="1" customFormat="1" ht="12.75" spans="1:26">
      <c r="A74" s="7"/>
      <c r="B74" s="7"/>
      <c r="C74" s="7"/>
      <c r="D74" s="7" t="s">
        <v>275</v>
      </c>
      <c r="E74" s="7">
        <v>8</v>
      </c>
      <c r="F74" s="13">
        <v>10158.3116152484</v>
      </c>
      <c r="G74" s="13">
        <v>404315.978080323</v>
      </c>
      <c r="H74" s="14">
        <v>13.1619021315877</v>
      </c>
      <c r="I74" s="18">
        <v>0.3815</v>
      </c>
      <c r="J74" s="13">
        <v>148.3852987039</v>
      </c>
      <c r="K74" s="13">
        <v>500.550474257738</v>
      </c>
      <c r="L74" s="13">
        <v>131.258733830675</v>
      </c>
      <c r="M74" s="13">
        <v>3150.99590896411</v>
      </c>
      <c r="N74" s="13">
        <v>1164.59765952433</v>
      </c>
      <c r="O74" s="13">
        <v>7.5</v>
      </c>
      <c r="P74" s="13">
        <v>3531.88650930314</v>
      </c>
      <c r="Q74" s="26">
        <v>0.0045</v>
      </c>
      <c r="R74" s="18">
        <v>5.13660058203753</v>
      </c>
      <c r="S74" s="18">
        <v>0.078</v>
      </c>
      <c r="T74" s="25">
        <v>0.1425</v>
      </c>
      <c r="U74" s="13">
        <v>109.069906250058</v>
      </c>
      <c r="V74" s="25">
        <v>0.0355</v>
      </c>
      <c r="W74" s="25">
        <v>0.048</v>
      </c>
      <c r="X74" s="18">
        <v>17.9659633473837</v>
      </c>
      <c r="Y74" s="18">
        <v>0.12939987432081</v>
      </c>
      <c r="Z74" s="18">
        <v>1.46606925593888</v>
      </c>
    </row>
    <row r="75" s="1" customFormat="1" ht="12.75" spans="1:26">
      <c r="A75" s="7"/>
      <c r="B75" s="7"/>
      <c r="C75" s="7"/>
      <c r="D75" s="7" t="s">
        <v>275</v>
      </c>
      <c r="E75" s="7">
        <v>9</v>
      </c>
      <c r="F75" s="13">
        <v>10110.4103314004</v>
      </c>
      <c r="G75" s="13">
        <v>407456.922599725</v>
      </c>
      <c r="H75" s="14">
        <v>11.3138588112832</v>
      </c>
      <c r="I75" s="18">
        <v>0.3815</v>
      </c>
      <c r="J75" s="13">
        <v>33.820503906083</v>
      </c>
      <c r="K75" s="13">
        <v>96.755599852629</v>
      </c>
      <c r="L75" s="13">
        <v>20.173822283788</v>
      </c>
      <c r="M75" s="13">
        <v>421.075690427547</v>
      </c>
      <c r="N75" s="13">
        <v>62.242782082751</v>
      </c>
      <c r="O75" s="19">
        <v>57.664138656168</v>
      </c>
      <c r="P75" s="13">
        <v>2659.81766191381</v>
      </c>
      <c r="Q75" s="26">
        <v>0.0045</v>
      </c>
      <c r="R75" s="18">
        <v>6.62325474885847</v>
      </c>
      <c r="S75" s="18">
        <v>0.078</v>
      </c>
      <c r="T75" s="25">
        <v>0.153</v>
      </c>
      <c r="U75" s="13">
        <v>134.189670812278</v>
      </c>
      <c r="V75" s="25">
        <v>0.038</v>
      </c>
      <c r="W75" s="25">
        <v>0.0515</v>
      </c>
      <c r="X75" s="18">
        <v>18.9496730855295</v>
      </c>
      <c r="Y75" s="18">
        <v>0.071834656633798</v>
      </c>
      <c r="Z75" s="18">
        <v>0.562747438500373</v>
      </c>
    </row>
    <row r="76" s="1" customFormat="1" ht="12.75" spans="1:26">
      <c r="A76" s="7"/>
      <c r="B76" s="7"/>
      <c r="C76" s="7"/>
      <c r="D76" s="7" t="s">
        <v>275</v>
      </c>
      <c r="E76" s="7">
        <v>10</v>
      </c>
      <c r="F76" s="13">
        <v>10457.9944653072</v>
      </c>
      <c r="G76" s="13">
        <v>428775.560652279</v>
      </c>
      <c r="H76" s="14">
        <v>7.07889368722547</v>
      </c>
      <c r="I76" s="18">
        <v>0.872024160345462</v>
      </c>
      <c r="J76" s="13">
        <v>136.264911938278</v>
      </c>
      <c r="K76" s="13">
        <v>181.120769028408</v>
      </c>
      <c r="L76" s="13">
        <v>4</v>
      </c>
      <c r="M76" s="13">
        <v>643.98003869487</v>
      </c>
      <c r="N76" s="13">
        <v>4.5</v>
      </c>
      <c r="O76" s="13">
        <v>7.5</v>
      </c>
      <c r="P76" s="13">
        <v>2808.49597148776</v>
      </c>
      <c r="Q76" s="26">
        <v>0.0045</v>
      </c>
      <c r="R76" s="18">
        <v>9.19191774319236</v>
      </c>
      <c r="S76" s="18">
        <v>0.078</v>
      </c>
      <c r="T76" s="25">
        <v>0.113</v>
      </c>
      <c r="U76" s="13">
        <v>98.3769355098411</v>
      </c>
      <c r="V76" s="25">
        <v>0.0285</v>
      </c>
      <c r="W76" s="25">
        <v>0.038</v>
      </c>
      <c r="X76" s="18">
        <v>1.26448885410585</v>
      </c>
      <c r="Y76" s="18">
        <v>0.211721657660957</v>
      </c>
      <c r="Z76" s="18">
        <v>4.32264124191718</v>
      </c>
    </row>
    <row r="77" s="1" customFormat="1" ht="12.75" spans="1:26">
      <c r="A77" s="7"/>
      <c r="B77" s="7"/>
      <c r="C77" s="7"/>
      <c r="D77" s="7" t="s">
        <v>275</v>
      </c>
      <c r="E77" s="7">
        <v>11</v>
      </c>
      <c r="F77" s="13">
        <v>9921.30962165014</v>
      </c>
      <c r="G77" s="13">
        <v>439375.541404156</v>
      </c>
      <c r="H77" s="14">
        <v>11.6519791962082</v>
      </c>
      <c r="I77" s="18">
        <v>1.42122462344631</v>
      </c>
      <c r="J77" s="13">
        <v>139.007934143185</v>
      </c>
      <c r="K77" s="13">
        <v>743.120204583676</v>
      </c>
      <c r="L77" s="13">
        <v>367.920720845616</v>
      </c>
      <c r="M77" s="13">
        <v>1656.78214561848</v>
      </c>
      <c r="N77" s="13">
        <v>1034.1711173242</v>
      </c>
      <c r="O77" s="13">
        <v>7.5</v>
      </c>
      <c r="P77" s="13">
        <v>2909.68574976478</v>
      </c>
      <c r="Q77" s="26">
        <v>0.02028722597205</v>
      </c>
      <c r="R77" s="18">
        <v>10.4985080847076</v>
      </c>
      <c r="S77" s="18">
        <v>0.078</v>
      </c>
      <c r="T77" s="25">
        <v>0.6465</v>
      </c>
      <c r="U77" s="19">
        <v>283.427065214673</v>
      </c>
      <c r="V77" s="25">
        <v>0.1635</v>
      </c>
      <c r="W77" s="25">
        <v>0.2205</v>
      </c>
      <c r="X77" s="27">
        <v>80.7414478932466</v>
      </c>
      <c r="Y77" s="18">
        <v>0.292589009123245</v>
      </c>
      <c r="Z77" s="18">
        <v>1.75007645689973</v>
      </c>
    </row>
    <row r="78" s="1" customFormat="1" ht="12.75" spans="1:26">
      <c r="A78" s="7"/>
      <c r="B78" s="7"/>
      <c r="C78" s="7"/>
      <c r="D78" s="7" t="s">
        <v>275</v>
      </c>
      <c r="E78" s="7">
        <v>12</v>
      </c>
      <c r="F78" s="13">
        <v>9562.26467131656</v>
      </c>
      <c r="G78" s="13">
        <v>378321.110655218</v>
      </c>
      <c r="H78" s="14">
        <v>10.2822134619541</v>
      </c>
      <c r="I78" s="18">
        <v>0.3815</v>
      </c>
      <c r="J78" s="13">
        <v>34.574532350362</v>
      </c>
      <c r="K78" s="13">
        <v>161.521797334027</v>
      </c>
      <c r="L78" s="13">
        <v>38.020349129227</v>
      </c>
      <c r="M78" s="13">
        <v>290.810877786575</v>
      </c>
      <c r="N78" s="13">
        <v>22.186050950931</v>
      </c>
      <c r="O78" s="13">
        <v>7.5</v>
      </c>
      <c r="P78" s="13">
        <v>1824.38448770765</v>
      </c>
      <c r="Q78" s="26">
        <v>0.0045</v>
      </c>
      <c r="R78" s="18">
        <v>10.6796240687587</v>
      </c>
      <c r="S78" s="18">
        <v>0.078</v>
      </c>
      <c r="T78" s="25">
        <v>0.1995</v>
      </c>
      <c r="U78" s="13">
        <v>92.0921036729808</v>
      </c>
      <c r="V78" s="25">
        <v>0.05</v>
      </c>
      <c r="W78" s="25">
        <v>0.0675</v>
      </c>
      <c r="X78" s="25">
        <v>0.9225</v>
      </c>
      <c r="Y78" s="18">
        <v>0.348312644242534</v>
      </c>
      <c r="Z78" s="18">
        <v>8.11604182891426</v>
      </c>
    </row>
    <row r="79" s="1" customFormat="1" ht="12.75" spans="1:26">
      <c r="A79" s="7"/>
      <c r="B79" s="7"/>
      <c r="C79" s="7"/>
      <c r="D79" s="7" t="s">
        <v>275</v>
      </c>
      <c r="E79" s="7">
        <v>13</v>
      </c>
      <c r="F79" s="13">
        <v>10540.948109999</v>
      </c>
      <c r="G79" s="13">
        <v>392010.132584793</v>
      </c>
      <c r="H79" s="14">
        <v>6.70845736978296</v>
      </c>
      <c r="I79" s="18">
        <v>0.3815</v>
      </c>
      <c r="J79" s="13">
        <v>100.984699469481</v>
      </c>
      <c r="K79" s="13">
        <v>413.756609427222</v>
      </c>
      <c r="L79" s="13">
        <v>327.996701079983</v>
      </c>
      <c r="M79" s="13">
        <v>800.49675919623</v>
      </c>
      <c r="N79" s="13">
        <v>368.488543268931</v>
      </c>
      <c r="O79" s="19">
        <v>74.48562412713</v>
      </c>
      <c r="P79" s="13">
        <v>2700.5262119369</v>
      </c>
      <c r="Q79" s="26">
        <v>0.0045</v>
      </c>
      <c r="R79" s="18">
        <v>8.70046309735876</v>
      </c>
      <c r="S79" s="18">
        <v>0.078</v>
      </c>
      <c r="T79" s="18">
        <v>0.343886081721279</v>
      </c>
      <c r="U79" s="13">
        <v>136.719972604049</v>
      </c>
      <c r="V79" s="25">
        <v>0.032</v>
      </c>
      <c r="W79" s="25">
        <v>0.043</v>
      </c>
      <c r="X79" s="27">
        <v>28.9153470024731</v>
      </c>
      <c r="Y79" s="18">
        <v>0.165533870114829</v>
      </c>
      <c r="Z79" s="18">
        <v>1.29659126411383</v>
      </c>
    </row>
    <row r="80" s="1" customFormat="1" ht="12.75" spans="1:26">
      <c r="A80" s="7"/>
      <c r="B80" s="7"/>
      <c r="C80" s="7"/>
      <c r="D80" s="7" t="s">
        <v>275</v>
      </c>
      <c r="E80" s="7">
        <v>14</v>
      </c>
      <c r="F80" s="13">
        <v>9965.72957675775</v>
      </c>
      <c r="G80" s="13">
        <v>381741.138959898</v>
      </c>
      <c r="H80" s="14">
        <v>7.73111127555291</v>
      </c>
      <c r="I80" s="18">
        <v>0.3815</v>
      </c>
      <c r="J80" s="13">
        <v>851.933843753682</v>
      </c>
      <c r="K80" s="13">
        <v>781.260709165301</v>
      </c>
      <c r="L80" s="13">
        <v>485.528047334075</v>
      </c>
      <c r="M80" s="13">
        <v>792.428667854248</v>
      </c>
      <c r="N80" s="13">
        <v>74.453183837346</v>
      </c>
      <c r="O80" s="13">
        <v>7.5</v>
      </c>
      <c r="P80" s="13">
        <v>3019.81957193478</v>
      </c>
      <c r="Q80" s="26">
        <v>0.0045</v>
      </c>
      <c r="R80" s="18">
        <v>3.78123320738834</v>
      </c>
      <c r="S80" s="18">
        <v>0.078</v>
      </c>
      <c r="T80" s="18">
        <v>0.201225349378639</v>
      </c>
      <c r="U80" s="13">
        <v>105.920471491927</v>
      </c>
      <c r="V80" s="25">
        <v>0.023</v>
      </c>
      <c r="W80" s="25">
        <v>0.031</v>
      </c>
      <c r="X80" s="18">
        <v>1.43676943557286</v>
      </c>
      <c r="Y80" s="18">
        <v>0.085178678620632</v>
      </c>
      <c r="Z80" s="18">
        <v>0.341464128861269</v>
      </c>
    </row>
    <row r="81" s="1" customFormat="1" ht="12.75" spans="1:26">
      <c r="A81" s="7"/>
      <c r="B81" s="7"/>
      <c r="C81" s="7"/>
      <c r="D81" s="7" t="s">
        <v>275</v>
      </c>
      <c r="E81" s="7">
        <v>15</v>
      </c>
      <c r="F81" s="13">
        <v>11300.1536805472</v>
      </c>
      <c r="G81" s="13">
        <v>386919.194857717</v>
      </c>
      <c r="H81" s="14">
        <v>4.31940133487503</v>
      </c>
      <c r="I81" s="18">
        <v>0.3815</v>
      </c>
      <c r="J81" s="13">
        <v>486.06410783497</v>
      </c>
      <c r="K81" s="13">
        <v>1052.57218649347</v>
      </c>
      <c r="L81" s="13">
        <v>351.712487903855</v>
      </c>
      <c r="M81" s="13">
        <v>542.061043906652</v>
      </c>
      <c r="N81" s="13">
        <v>397.037868336519</v>
      </c>
      <c r="O81" s="13">
        <v>7.5</v>
      </c>
      <c r="P81" s="13">
        <v>3743.49954320739</v>
      </c>
      <c r="Q81" s="26">
        <v>0.0045</v>
      </c>
      <c r="R81" s="18">
        <v>3.4995072812805</v>
      </c>
      <c r="S81" s="18">
        <v>0.078</v>
      </c>
      <c r="T81" s="18">
        <v>0.490732358715784</v>
      </c>
      <c r="U81" s="13">
        <v>118.624463540332</v>
      </c>
      <c r="V81" s="25">
        <v>0.049</v>
      </c>
      <c r="W81" s="18">
        <v>0.704519988763644</v>
      </c>
      <c r="X81" s="18">
        <v>10.6930520291484</v>
      </c>
      <c r="Y81" s="18">
        <v>0.209786129623189</v>
      </c>
      <c r="Z81" s="18">
        <v>3.7076523716706</v>
      </c>
    </row>
    <row r="82" s="1" customFormat="1" ht="12.75" spans="1:26">
      <c r="A82" s="7"/>
      <c r="B82" s="7" t="s">
        <v>223</v>
      </c>
      <c r="C82" s="7" t="s">
        <v>273</v>
      </c>
      <c r="D82" s="7" t="s">
        <v>275</v>
      </c>
      <c r="E82" s="7">
        <v>1</v>
      </c>
      <c r="F82" s="13">
        <v>9481.86860154716</v>
      </c>
      <c r="G82" s="13">
        <v>386083.822383138</v>
      </c>
      <c r="H82" s="14">
        <v>6.80235935391276</v>
      </c>
      <c r="I82" s="18">
        <v>1.28925482260286</v>
      </c>
      <c r="J82" s="13">
        <v>72.237194995482</v>
      </c>
      <c r="K82" s="13">
        <v>115.412047694872</v>
      </c>
      <c r="L82" s="13">
        <v>62.205838499597</v>
      </c>
      <c r="M82" s="13">
        <v>441.653520936844</v>
      </c>
      <c r="N82" s="13">
        <v>45.147986517615</v>
      </c>
      <c r="O82" s="19">
        <v>24.396497104871</v>
      </c>
      <c r="P82" s="13">
        <v>2840.16307053418</v>
      </c>
      <c r="Q82" s="26">
        <v>0.0045</v>
      </c>
      <c r="R82" s="18">
        <v>4.14293321946431</v>
      </c>
      <c r="S82" s="18">
        <v>0.078</v>
      </c>
      <c r="T82" s="18">
        <v>0.421039567860561</v>
      </c>
      <c r="U82" s="13">
        <v>104.013038712892</v>
      </c>
      <c r="V82" s="25">
        <v>0.035</v>
      </c>
      <c r="W82" s="25">
        <v>0.0475</v>
      </c>
      <c r="X82" s="25">
        <v>0.6565</v>
      </c>
      <c r="Y82" s="18">
        <v>0.120621530914644</v>
      </c>
      <c r="Z82" s="18">
        <v>0.598536621236566</v>
      </c>
    </row>
    <row r="83" s="1" customFormat="1" ht="12.75" spans="1:26">
      <c r="A83" s="7"/>
      <c r="B83" s="7"/>
      <c r="C83" s="7"/>
      <c r="D83" s="7" t="s">
        <v>275</v>
      </c>
      <c r="E83" s="7">
        <v>2</v>
      </c>
      <c r="F83" s="13">
        <v>10980.0531989681</v>
      </c>
      <c r="G83" s="13">
        <v>419477.031664198</v>
      </c>
      <c r="H83" s="14">
        <v>7.36367490006007</v>
      </c>
      <c r="I83" s="18">
        <v>0.3815</v>
      </c>
      <c r="J83" s="13">
        <v>142.586006136532</v>
      </c>
      <c r="K83" s="13">
        <v>385.952311810521</v>
      </c>
      <c r="L83" s="13">
        <v>57.607609593729</v>
      </c>
      <c r="M83" s="13">
        <v>439.01653847479</v>
      </c>
      <c r="N83" s="13">
        <v>10.780814356097</v>
      </c>
      <c r="O83" s="13">
        <v>7.5</v>
      </c>
      <c r="P83" s="13">
        <v>2437.50027061494</v>
      </c>
      <c r="Q83" s="26">
        <v>0.0045</v>
      </c>
      <c r="R83" s="18">
        <v>2.23184269916605</v>
      </c>
      <c r="S83" s="18">
        <v>0.078</v>
      </c>
      <c r="T83" s="18">
        <v>0.198</v>
      </c>
      <c r="U83" s="13">
        <v>112.427831209064</v>
      </c>
      <c r="V83" s="25">
        <v>0.028</v>
      </c>
      <c r="W83" s="25">
        <v>0.0375</v>
      </c>
      <c r="X83" s="18">
        <v>10.4569488729655</v>
      </c>
      <c r="Y83" s="18">
        <v>0.12839488438412</v>
      </c>
      <c r="Z83" s="18">
        <v>0.347987649964186</v>
      </c>
    </row>
    <row r="84" s="1" customFormat="1" ht="12.75" spans="1:26">
      <c r="A84" s="7"/>
      <c r="B84" s="7"/>
      <c r="C84" s="7"/>
      <c r="D84" s="7" t="s">
        <v>275</v>
      </c>
      <c r="E84" s="7">
        <v>3</v>
      </c>
      <c r="F84" s="13">
        <v>10388.0962090803</v>
      </c>
      <c r="G84" s="13">
        <v>380173.782977819</v>
      </c>
      <c r="H84" s="14">
        <v>6.06001283675557</v>
      </c>
      <c r="I84" s="18">
        <v>0.3815</v>
      </c>
      <c r="J84" s="13">
        <v>60.597010711779</v>
      </c>
      <c r="K84" s="13">
        <v>532.865583708594</v>
      </c>
      <c r="L84" s="13">
        <v>174.5270570895</v>
      </c>
      <c r="M84" s="13">
        <v>590.684539631485</v>
      </c>
      <c r="N84" s="13">
        <v>13.470515281876</v>
      </c>
      <c r="O84" s="13">
        <v>7.5</v>
      </c>
      <c r="P84" s="13">
        <v>2419.46978686418</v>
      </c>
      <c r="Q84" s="26">
        <v>0.0045</v>
      </c>
      <c r="R84" s="18">
        <v>4.99543663970052</v>
      </c>
      <c r="S84" s="18">
        <v>0.078</v>
      </c>
      <c r="T84" s="25">
        <v>0.3605</v>
      </c>
      <c r="U84" s="13">
        <v>157.764511978745</v>
      </c>
      <c r="V84" s="25">
        <v>0.091</v>
      </c>
      <c r="W84" s="25">
        <v>0.1235</v>
      </c>
      <c r="X84" s="25">
        <v>1.6995</v>
      </c>
      <c r="Y84" s="25">
        <v>0.0375</v>
      </c>
      <c r="Z84" s="18">
        <v>0.708872069659652</v>
      </c>
    </row>
    <row r="85" s="1" customFormat="1" ht="12.75" spans="1:26">
      <c r="A85" s="7"/>
      <c r="B85" s="7"/>
      <c r="C85" s="7"/>
      <c r="D85" s="7" t="s">
        <v>275</v>
      </c>
      <c r="E85" s="7">
        <v>4</v>
      </c>
      <c r="F85" s="13">
        <v>9611.48510940809</v>
      </c>
      <c r="G85" s="13">
        <v>370083.100560928</v>
      </c>
      <c r="H85" s="14">
        <v>8.94376818853111</v>
      </c>
      <c r="I85" s="18">
        <v>0.3815</v>
      </c>
      <c r="J85" s="13">
        <v>6</v>
      </c>
      <c r="K85" s="13">
        <v>1097.86321726903</v>
      </c>
      <c r="L85" s="13">
        <v>500.18977307731</v>
      </c>
      <c r="M85" s="13">
        <v>1089.00693233254</v>
      </c>
      <c r="N85" s="13">
        <v>692.754110600956</v>
      </c>
      <c r="O85" s="13">
        <v>7.5</v>
      </c>
      <c r="P85" s="13">
        <v>2641.4153601716</v>
      </c>
      <c r="Q85" s="26">
        <v>0.0045</v>
      </c>
      <c r="R85" s="18">
        <v>4.4505018364498</v>
      </c>
      <c r="S85" s="18">
        <v>0.285851214293028</v>
      </c>
      <c r="T85" s="25">
        <v>0.127</v>
      </c>
      <c r="U85" s="13">
        <v>114.556569077182</v>
      </c>
      <c r="V85" s="25">
        <v>0.0315</v>
      </c>
      <c r="W85" s="25">
        <v>0.043</v>
      </c>
      <c r="X85" s="25">
        <v>0.591</v>
      </c>
      <c r="Y85" s="25">
        <v>0.013</v>
      </c>
      <c r="Z85" s="25">
        <v>0.0635</v>
      </c>
    </row>
    <row r="86" s="1" customFormat="1" ht="12.75" spans="1:26">
      <c r="A86" s="7"/>
      <c r="B86" s="7"/>
      <c r="C86" s="7"/>
      <c r="D86" s="7" t="s">
        <v>275</v>
      </c>
      <c r="E86" s="7">
        <v>5</v>
      </c>
      <c r="F86" s="13">
        <v>9924.47616770024</v>
      </c>
      <c r="G86" s="13">
        <v>404507.912519958</v>
      </c>
      <c r="H86" s="14">
        <v>8.02422144344593</v>
      </c>
      <c r="I86" s="18">
        <v>0.3815</v>
      </c>
      <c r="J86" s="13">
        <v>306.068635948302</v>
      </c>
      <c r="K86" s="13">
        <v>904.258075946688</v>
      </c>
      <c r="L86" s="13">
        <v>423.056231864548</v>
      </c>
      <c r="M86" s="13">
        <v>787.607535522443</v>
      </c>
      <c r="N86" s="13">
        <v>4.5</v>
      </c>
      <c r="O86" s="13">
        <v>7.5</v>
      </c>
      <c r="P86" s="13">
        <v>2412.02072120578</v>
      </c>
      <c r="Q86" s="26">
        <v>0.0045</v>
      </c>
      <c r="R86" s="18">
        <v>3.68849542573376</v>
      </c>
      <c r="S86" s="18">
        <v>0.078</v>
      </c>
      <c r="T86" s="25">
        <v>0.159</v>
      </c>
      <c r="U86" s="13">
        <v>105.160265150377</v>
      </c>
      <c r="V86" s="25">
        <v>0.0395</v>
      </c>
      <c r="W86" s="25">
        <v>0.054</v>
      </c>
      <c r="X86" s="25">
        <v>0.741</v>
      </c>
      <c r="Y86" s="18">
        <v>0.075907800490137</v>
      </c>
      <c r="Z86" s="18">
        <v>0.201743014510036</v>
      </c>
    </row>
    <row r="87" s="1" customFormat="1" ht="12.75" spans="1:26">
      <c r="A87" s="7"/>
      <c r="B87" s="7"/>
      <c r="C87" s="7"/>
      <c r="D87" s="7" t="s">
        <v>275</v>
      </c>
      <c r="E87" s="7">
        <v>6</v>
      </c>
      <c r="F87" s="13">
        <v>10555.4317316914</v>
      </c>
      <c r="G87" s="13">
        <v>384063.623013725</v>
      </c>
      <c r="H87" s="14">
        <v>11.7593709798223</v>
      </c>
      <c r="I87" s="18">
        <v>0.3815</v>
      </c>
      <c r="J87" s="13">
        <v>447.063278084328</v>
      </c>
      <c r="K87" s="13">
        <v>864.029838517945</v>
      </c>
      <c r="L87" s="13">
        <v>501.777495883638</v>
      </c>
      <c r="M87" s="13">
        <v>646.168438621584</v>
      </c>
      <c r="N87" s="13">
        <v>407.854780504764</v>
      </c>
      <c r="O87" s="19">
        <v>65.81911283957</v>
      </c>
      <c r="P87" s="13">
        <v>3970.70484708662</v>
      </c>
      <c r="Q87" s="24">
        <v>0.032142687406743</v>
      </c>
      <c r="R87" s="18">
        <v>4.74638775007461</v>
      </c>
      <c r="S87" s="18">
        <v>0.589509138407822</v>
      </c>
      <c r="T87" s="18">
        <v>0.287618957451809</v>
      </c>
      <c r="U87" s="13">
        <v>113.099166006177</v>
      </c>
      <c r="V87" s="25">
        <v>0.0325</v>
      </c>
      <c r="W87" s="25">
        <v>0.0445</v>
      </c>
      <c r="X87" s="18">
        <v>26.5341494125178</v>
      </c>
      <c r="Y87" s="18">
        <v>0.042938500951123</v>
      </c>
      <c r="Z87" s="18">
        <v>0.248045633874443</v>
      </c>
    </row>
    <row r="88" s="1" customFormat="1" ht="12.75" spans="1:26">
      <c r="A88" s="7"/>
      <c r="B88" s="7"/>
      <c r="C88" s="7"/>
      <c r="D88" s="7" t="s">
        <v>275</v>
      </c>
      <c r="E88" s="7">
        <v>7</v>
      </c>
      <c r="F88" s="13">
        <v>10874.1218793406</v>
      </c>
      <c r="G88" s="13">
        <v>410642.236033559</v>
      </c>
      <c r="H88" s="14">
        <v>10.1978657623496</v>
      </c>
      <c r="I88" s="18">
        <v>0.3815</v>
      </c>
      <c r="J88" s="13">
        <v>6</v>
      </c>
      <c r="K88" s="13">
        <v>248.26962976281</v>
      </c>
      <c r="L88" s="13">
        <v>291.667494835157</v>
      </c>
      <c r="M88" s="13">
        <v>505.166242718053</v>
      </c>
      <c r="N88" s="13">
        <v>137.658736288239</v>
      </c>
      <c r="O88" s="13">
        <v>7.5</v>
      </c>
      <c r="P88" s="13">
        <v>2818.92805959716</v>
      </c>
      <c r="Q88" s="26">
        <v>0.0045</v>
      </c>
      <c r="R88" s="18">
        <v>4.77860552280475</v>
      </c>
      <c r="S88" s="18">
        <v>0.078</v>
      </c>
      <c r="T88" s="25">
        <v>0.14</v>
      </c>
      <c r="U88" s="13">
        <v>109.382227090466</v>
      </c>
      <c r="V88" s="25">
        <v>0.034</v>
      </c>
      <c r="W88" s="18">
        <v>0.452829283084996</v>
      </c>
      <c r="X88" s="18">
        <v>4.83578160126581</v>
      </c>
      <c r="Y88" s="18">
        <v>0.059843538323605</v>
      </c>
      <c r="Z88" s="18">
        <v>0.471506759599105</v>
      </c>
    </row>
    <row r="89" s="1" customFormat="1" ht="12.75" spans="1:26">
      <c r="A89" s="7"/>
      <c r="B89" s="7"/>
      <c r="C89" s="7"/>
      <c r="D89" s="7" t="s">
        <v>275</v>
      </c>
      <c r="E89" s="7">
        <v>8</v>
      </c>
      <c r="F89" s="13">
        <v>10395.519423582</v>
      </c>
      <c r="G89" s="13">
        <v>377960.320637119</v>
      </c>
      <c r="H89" s="14">
        <v>5.90553519629228</v>
      </c>
      <c r="I89" s="18">
        <v>0.3815</v>
      </c>
      <c r="J89" s="13">
        <v>231.604568236013</v>
      </c>
      <c r="K89" s="13">
        <v>337.232463762091</v>
      </c>
      <c r="L89" s="13">
        <v>403.232652023281</v>
      </c>
      <c r="M89" s="13">
        <v>1257.72910830625</v>
      </c>
      <c r="N89" s="13">
        <v>940.264651391021</v>
      </c>
      <c r="O89" s="19">
        <v>17.670444025285</v>
      </c>
      <c r="P89" s="13">
        <v>3494.88731201925</v>
      </c>
      <c r="Q89" s="26">
        <v>0.0045</v>
      </c>
      <c r="R89" s="18">
        <v>3.13964850407195</v>
      </c>
      <c r="S89" s="18">
        <v>0.078</v>
      </c>
      <c r="T89" s="25">
        <v>0.189</v>
      </c>
      <c r="U89" s="13">
        <v>156.591207502471</v>
      </c>
      <c r="V89" s="25">
        <v>0.046</v>
      </c>
      <c r="W89" s="25">
        <v>0.064</v>
      </c>
      <c r="X89" s="27">
        <v>69.7975775973614</v>
      </c>
      <c r="Y89" s="18">
        <v>0.059255291388246</v>
      </c>
      <c r="Z89" s="18">
        <v>0.716643916186737</v>
      </c>
    </row>
    <row r="90" s="1" customFormat="1" ht="12.75" spans="1:26">
      <c r="A90" s="7"/>
      <c r="B90" s="7"/>
      <c r="C90" s="7"/>
      <c r="D90" s="7" t="s">
        <v>275</v>
      </c>
      <c r="E90" s="7">
        <v>9</v>
      </c>
      <c r="F90" s="13">
        <v>11138.9630644661</v>
      </c>
      <c r="G90" s="13">
        <v>421964.836141178</v>
      </c>
      <c r="H90" s="14">
        <v>8.70443500597648</v>
      </c>
      <c r="I90" s="18">
        <v>1.13664026619699</v>
      </c>
      <c r="J90" s="13">
        <v>565.36829342261</v>
      </c>
      <c r="K90" s="13">
        <v>851.245277906918</v>
      </c>
      <c r="L90" s="13">
        <v>322.219407040562</v>
      </c>
      <c r="M90" s="13">
        <v>787.024869176105</v>
      </c>
      <c r="N90" s="13">
        <v>199.071684693178</v>
      </c>
      <c r="O90" s="13">
        <v>7.5</v>
      </c>
      <c r="P90" s="13">
        <v>3667.23633385812</v>
      </c>
      <c r="Q90" s="24">
        <v>0.025373881796352</v>
      </c>
      <c r="R90" s="18">
        <v>5.00823814492996</v>
      </c>
      <c r="S90" s="18">
        <v>0.078</v>
      </c>
      <c r="T90" s="18">
        <v>0.266640834725492</v>
      </c>
      <c r="U90" s="13">
        <v>108.422974989108</v>
      </c>
      <c r="V90" s="18">
        <v>0.065996464701884</v>
      </c>
      <c r="W90" s="25">
        <v>0.0415</v>
      </c>
      <c r="X90" s="18">
        <v>12.5472165411081</v>
      </c>
      <c r="Y90" s="25">
        <v>0.013</v>
      </c>
      <c r="Z90" s="18">
        <v>0.222595343643532</v>
      </c>
    </row>
    <row r="91" s="1" customFormat="1" ht="12.75" spans="1:26">
      <c r="A91" s="7"/>
      <c r="B91" s="7"/>
      <c r="C91" s="7"/>
      <c r="D91" s="7" t="s">
        <v>275</v>
      </c>
      <c r="E91" s="7">
        <v>10</v>
      </c>
      <c r="F91" s="13">
        <v>10157.1289556192</v>
      </c>
      <c r="G91" s="13">
        <v>423803.16081633</v>
      </c>
      <c r="H91" s="14">
        <v>8.04805663267236</v>
      </c>
      <c r="I91" s="18">
        <v>0.3815</v>
      </c>
      <c r="J91" s="13">
        <v>23.958777950624</v>
      </c>
      <c r="K91" s="13">
        <v>172.437694551522</v>
      </c>
      <c r="L91" s="13">
        <v>43.644834239115</v>
      </c>
      <c r="M91" s="13">
        <v>286.113506868201</v>
      </c>
      <c r="N91" s="13">
        <v>4.5</v>
      </c>
      <c r="O91" s="13">
        <v>7.5</v>
      </c>
      <c r="P91" s="13">
        <v>2938.62365715996</v>
      </c>
      <c r="Q91" s="26">
        <v>0.0045</v>
      </c>
      <c r="R91" s="18">
        <v>6.37595126192112</v>
      </c>
      <c r="S91" s="18">
        <v>0.078</v>
      </c>
      <c r="T91" s="25">
        <v>0.174</v>
      </c>
      <c r="U91" s="13">
        <v>118.446035176964</v>
      </c>
      <c r="V91" s="25">
        <v>0.042</v>
      </c>
      <c r="W91" s="25">
        <v>0.0575</v>
      </c>
      <c r="X91" s="25">
        <v>0.7885</v>
      </c>
      <c r="Y91" s="25">
        <v>0.018</v>
      </c>
      <c r="Z91" s="25">
        <v>0.0835</v>
      </c>
    </row>
    <row r="92" s="1" customFormat="1" ht="12.75" spans="1:26">
      <c r="A92" s="7"/>
      <c r="B92" s="7"/>
      <c r="C92" s="7"/>
      <c r="D92" s="7" t="s">
        <v>275</v>
      </c>
      <c r="E92" s="7">
        <v>11</v>
      </c>
      <c r="F92" s="13">
        <v>11099.0406216411</v>
      </c>
      <c r="G92" s="13">
        <v>447429.175479984</v>
      </c>
      <c r="H92" s="14">
        <v>7.24433559660193</v>
      </c>
      <c r="I92" s="18">
        <v>0.3815</v>
      </c>
      <c r="J92" s="13">
        <v>25.451689933297</v>
      </c>
      <c r="K92" s="13">
        <v>1551.47798548118</v>
      </c>
      <c r="L92" s="13">
        <v>64.713865204953</v>
      </c>
      <c r="M92" s="13">
        <v>1729.40872780413</v>
      </c>
      <c r="N92" s="13">
        <v>467.356767159363</v>
      </c>
      <c r="O92" s="13">
        <v>7.5</v>
      </c>
      <c r="P92" s="13">
        <v>4182.12952715516</v>
      </c>
      <c r="Q92" s="26">
        <v>0.017164049348541</v>
      </c>
      <c r="R92" s="18">
        <v>7.22713362334956</v>
      </c>
      <c r="S92" s="18">
        <v>0.078</v>
      </c>
      <c r="T92" s="18">
        <v>0.365601333051217</v>
      </c>
      <c r="U92" s="13">
        <v>161.299145464539</v>
      </c>
      <c r="V92" s="25">
        <v>0.037</v>
      </c>
      <c r="W92" s="18">
        <v>0.172598755096458</v>
      </c>
      <c r="X92" s="18">
        <v>10.0809067325439</v>
      </c>
      <c r="Y92" s="18">
        <v>0.093671805465136</v>
      </c>
      <c r="Z92" s="18">
        <v>0.586172769904076</v>
      </c>
    </row>
    <row r="93" s="1" customFormat="1" ht="12.75" spans="1:26">
      <c r="A93" s="7"/>
      <c r="B93" s="7"/>
      <c r="C93" s="7"/>
      <c r="D93" s="7" t="s">
        <v>275</v>
      </c>
      <c r="E93" s="7">
        <v>12</v>
      </c>
      <c r="F93" s="13">
        <v>10845.2889296846</v>
      </c>
      <c r="G93" s="13">
        <v>369207.145647737</v>
      </c>
      <c r="H93" s="14">
        <v>15.2930771974878</v>
      </c>
      <c r="I93" s="18">
        <v>1.22892510926383</v>
      </c>
      <c r="J93" s="13">
        <v>6</v>
      </c>
      <c r="K93" s="13">
        <v>418.24583639341</v>
      </c>
      <c r="L93" s="13">
        <v>141.143873566507</v>
      </c>
      <c r="M93" s="13">
        <v>648.724687916043</v>
      </c>
      <c r="N93" s="13">
        <v>132.86619080507</v>
      </c>
      <c r="O93" s="13">
        <v>7.5</v>
      </c>
      <c r="P93" s="13">
        <v>3204.69232445577</v>
      </c>
      <c r="Q93" s="26">
        <v>0.0045</v>
      </c>
      <c r="R93" s="18">
        <v>9.36261115336385</v>
      </c>
      <c r="S93" s="18">
        <v>0.078</v>
      </c>
      <c r="T93" s="25">
        <v>0.413</v>
      </c>
      <c r="U93" s="13">
        <v>104.846641845932</v>
      </c>
      <c r="V93" s="25">
        <v>0.101</v>
      </c>
      <c r="W93" s="25">
        <v>0.1395</v>
      </c>
      <c r="X93" s="18">
        <v>10.0259015611575</v>
      </c>
      <c r="Y93" s="18">
        <v>0.159</v>
      </c>
      <c r="Z93" s="18">
        <v>0.447248175771982</v>
      </c>
    </row>
    <row r="94" s="1" customFormat="1" ht="12.75" spans="1:26">
      <c r="A94" s="7"/>
      <c r="B94" s="7" t="s">
        <v>218</v>
      </c>
      <c r="C94" s="7" t="s">
        <v>273</v>
      </c>
      <c r="D94" s="7" t="s">
        <v>276</v>
      </c>
      <c r="E94" s="7">
        <v>1</v>
      </c>
      <c r="F94" s="13">
        <v>8.96158934897762</v>
      </c>
      <c r="G94" s="13">
        <v>1251.48817133017</v>
      </c>
      <c r="H94" s="13">
        <v>333472.296393996</v>
      </c>
      <c r="I94" s="13">
        <v>282.456894583319</v>
      </c>
      <c r="J94" s="13">
        <v>22.312945054796</v>
      </c>
      <c r="K94" s="13">
        <v>164.577885868886</v>
      </c>
      <c r="L94" s="13">
        <v>43.706042895454</v>
      </c>
      <c r="M94" s="13">
        <v>208</v>
      </c>
      <c r="N94" s="19">
        <v>69.9297476468964</v>
      </c>
      <c r="O94" s="13">
        <v>7.5</v>
      </c>
      <c r="P94" s="13">
        <v>6</v>
      </c>
      <c r="Q94" s="26">
        <v>0.013036036826436</v>
      </c>
      <c r="R94" s="18">
        <v>7.98735022005311</v>
      </c>
      <c r="S94" s="18">
        <v>2.55577567932199</v>
      </c>
      <c r="T94" s="25">
        <v>0.155</v>
      </c>
      <c r="U94" s="13">
        <v>113.842185190986</v>
      </c>
      <c r="V94" s="18">
        <v>0.295932056532196</v>
      </c>
      <c r="W94" s="18">
        <v>0.203757661168126</v>
      </c>
      <c r="X94" s="25">
        <v>0.6955</v>
      </c>
      <c r="Y94" s="18">
        <v>3.08707369956997</v>
      </c>
      <c r="Z94" s="18">
        <v>83.486201563512</v>
      </c>
    </row>
    <row r="95" s="1" customFormat="1" ht="12.75" spans="1:26">
      <c r="A95" s="7"/>
      <c r="B95" s="7"/>
      <c r="C95" s="7"/>
      <c r="D95" s="7" t="s">
        <v>276</v>
      </c>
      <c r="E95" s="7">
        <v>2</v>
      </c>
      <c r="F95" s="13">
        <v>1.66955201758362</v>
      </c>
      <c r="G95" s="13">
        <v>245.244451197667</v>
      </c>
      <c r="H95" s="13">
        <v>349288.638247608</v>
      </c>
      <c r="I95" s="13">
        <v>338.399983260513</v>
      </c>
      <c r="J95" s="13">
        <v>115.011750238557</v>
      </c>
      <c r="K95" s="13">
        <v>31</v>
      </c>
      <c r="L95" s="13">
        <v>19.795110537608</v>
      </c>
      <c r="M95" s="13">
        <v>39.5590036534995</v>
      </c>
      <c r="N95" s="13">
        <v>4.5</v>
      </c>
      <c r="O95" s="13">
        <v>7.5</v>
      </c>
      <c r="P95" s="13">
        <v>176.671193764803</v>
      </c>
      <c r="Q95" s="26">
        <v>0.011382388024328</v>
      </c>
      <c r="R95" s="18">
        <v>8.80881263353209</v>
      </c>
      <c r="S95" s="18">
        <v>3.69448599653314</v>
      </c>
      <c r="T95" s="18">
        <v>0.547</v>
      </c>
      <c r="U95" s="13">
        <v>98.6512730840186</v>
      </c>
      <c r="V95" s="18">
        <v>0.277138322695953</v>
      </c>
      <c r="W95" s="25">
        <v>0.0455</v>
      </c>
      <c r="X95" s="25">
        <v>0.6205</v>
      </c>
      <c r="Y95" s="18">
        <v>3.737</v>
      </c>
      <c r="Z95" s="18">
        <v>102.50700369047</v>
      </c>
    </row>
    <row r="96" s="1" customFormat="1" ht="12.75" spans="1:26">
      <c r="A96" s="7"/>
      <c r="B96" s="7"/>
      <c r="C96" s="7"/>
      <c r="D96" s="7" t="s">
        <v>276</v>
      </c>
      <c r="E96" s="7">
        <v>3</v>
      </c>
      <c r="F96" s="13">
        <v>0.534377437263165</v>
      </c>
      <c r="G96" s="13">
        <v>51.5837289946991</v>
      </c>
      <c r="H96" s="13">
        <v>341454.647984733</v>
      </c>
      <c r="I96" s="13">
        <v>432.545682058787</v>
      </c>
      <c r="J96" s="13">
        <v>152</v>
      </c>
      <c r="K96" s="13">
        <v>281.075377862207</v>
      </c>
      <c r="L96" s="19">
        <v>314.957470797146</v>
      </c>
      <c r="M96" s="13">
        <v>221.93637932258</v>
      </c>
      <c r="N96" s="13">
        <v>4.5</v>
      </c>
      <c r="O96" s="13">
        <v>7.5</v>
      </c>
      <c r="P96" s="13">
        <v>45</v>
      </c>
      <c r="Q96" s="26">
        <v>0.0045</v>
      </c>
      <c r="R96" s="18">
        <v>5.86487509295298</v>
      </c>
      <c r="S96" s="18">
        <v>2.4281320715743</v>
      </c>
      <c r="T96" s="18">
        <v>0.365553662413814</v>
      </c>
      <c r="U96" s="13">
        <v>91.70147274866</v>
      </c>
      <c r="V96" s="18">
        <v>0.255361063011658</v>
      </c>
      <c r="W96" s="18">
        <v>0.154512858178654</v>
      </c>
      <c r="X96" s="18">
        <v>1.48879466075704</v>
      </c>
      <c r="Y96" s="18">
        <v>1.40178177217806</v>
      </c>
      <c r="Z96" s="18">
        <v>47.5434793271084</v>
      </c>
    </row>
    <row r="97" s="1" customFormat="1" ht="12.75" spans="1:26">
      <c r="A97" s="7"/>
      <c r="B97" s="7"/>
      <c r="C97" s="7"/>
      <c r="D97" s="7" t="s">
        <v>276</v>
      </c>
      <c r="E97" s="7">
        <v>4</v>
      </c>
      <c r="F97" s="13">
        <v>26.5369533708072</v>
      </c>
      <c r="G97" s="13">
        <v>1886.95135873658</v>
      </c>
      <c r="H97" s="13">
        <v>334270.119394592</v>
      </c>
      <c r="I97" s="13">
        <v>160.956012804707</v>
      </c>
      <c r="J97" s="13">
        <v>286</v>
      </c>
      <c r="K97" s="13">
        <v>358</v>
      </c>
      <c r="L97" s="13">
        <v>50</v>
      </c>
      <c r="M97" s="13">
        <v>340.108246944786</v>
      </c>
      <c r="N97" s="13">
        <v>10.4643718412468</v>
      </c>
      <c r="O97" s="13">
        <v>7.5</v>
      </c>
      <c r="P97" s="13">
        <v>6</v>
      </c>
      <c r="Q97" s="26">
        <v>0.0232716139572</v>
      </c>
      <c r="R97" s="18">
        <v>8.20050943847921</v>
      </c>
      <c r="S97" s="18">
        <v>2.45845703999433</v>
      </c>
      <c r="T97" s="18">
        <v>0.824884720528925</v>
      </c>
      <c r="U97" s="13">
        <v>108.065883711312</v>
      </c>
      <c r="V97" s="18">
        <v>0.071601004161761</v>
      </c>
      <c r="W97" s="25">
        <v>0.043</v>
      </c>
      <c r="X97" s="25">
        <v>0.5825</v>
      </c>
      <c r="Y97" s="18">
        <v>2.41798287020798</v>
      </c>
      <c r="Z97" s="18">
        <v>83.9895332579162</v>
      </c>
    </row>
    <row r="98" s="1" customFormat="1" ht="12.75" spans="1:26">
      <c r="A98" s="7"/>
      <c r="B98" s="7" t="s">
        <v>220</v>
      </c>
      <c r="C98" s="7" t="s">
        <v>273</v>
      </c>
      <c r="D98" s="7" t="s">
        <v>276</v>
      </c>
      <c r="E98" s="7">
        <v>1</v>
      </c>
      <c r="F98" s="13">
        <v>0.958067888765379</v>
      </c>
      <c r="G98" s="13">
        <v>35.9395279559075</v>
      </c>
      <c r="H98" s="13">
        <v>343915.698735082</v>
      </c>
      <c r="I98" s="13">
        <v>535.894479451008</v>
      </c>
      <c r="J98" s="13">
        <v>28.384563270495</v>
      </c>
      <c r="K98" s="13">
        <v>89.767691925247</v>
      </c>
      <c r="L98" s="13">
        <v>4</v>
      </c>
      <c r="M98" s="13">
        <v>181.018656824236</v>
      </c>
      <c r="N98" s="13">
        <v>4.5</v>
      </c>
      <c r="O98" s="13">
        <v>7.5</v>
      </c>
      <c r="P98" s="13">
        <v>6</v>
      </c>
      <c r="Q98" s="26">
        <v>0.017655277375808</v>
      </c>
      <c r="R98" s="18">
        <v>4.00243170545946</v>
      </c>
      <c r="S98" s="18">
        <v>2.68737749348661</v>
      </c>
      <c r="T98" s="25">
        <v>0.1575</v>
      </c>
      <c r="U98" s="13">
        <v>143.587097698376</v>
      </c>
      <c r="V98" s="18">
        <v>0.583244370675608</v>
      </c>
      <c r="W98" s="25">
        <v>0.0505</v>
      </c>
      <c r="X98" s="25">
        <v>0.69</v>
      </c>
      <c r="Y98" s="18">
        <v>1.57352206601512</v>
      </c>
      <c r="Z98" s="18">
        <v>7.43038362440939</v>
      </c>
    </row>
    <row r="99" s="1" customFormat="1" ht="12.75" spans="1:26">
      <c r="A99" s="7"/>
      <c r="B99" s="7"/>
      <c r="C99" s="7"/>
      <c r="D99" s="7" t="s">
        <v>276</v>
      </c>
      <c r="E99" s="7">
        <v>2</v>
      </c>
      <c r="F99" s="13">
        <v>1.71547902273043</v>
      </c>
      <c r="G99" s="13">
        <v>78.392720872242</v>
      </c>
      <c r="H99" s="13">
        <v>332822.459151961</v>
      </c>
      <c r="I99" s="13">
        <v>369.962234426933</v>
      </c>
      <c r="J99" s="13">
        <v>24.208833890174</v>
      </c>
      <c r="K99" s="13">
        <v>31</v>
      </c>
      <c r="L99" s="13">
        <v>4</v>
      </c>
      <c r="M99" s="13">
        <v>57.9821981162175</v>
      </c>
      <c r="N99" s="13">
        <v>4.5</v>
      </c>
      <c r="O99" s="13">
        <v>7.5</v>
      </c>
      <c r="P99" s="13">
        <v>98.504150300505</v>
      </c>
      <c r="Q99" s="26">
        <v>0.0045</v>
      </c>
      <c r="R99" s="18">
        <v>4.76874232809925</v>
      </c>
      <c r="S99" s="18">
        <v>2.58401618358957</v>
      </c>
      <c r="T99" s="25">
        <v>0.1435</v>
      </c>
      <c r="U99" s="13">
        <v>128.125639139145</v>
      </c>
      <c r="V99" s="18">
        <v>0.669494778414832</v>
      </c>
      <c r="W99" s="18">
        <v>0.204347965808954</v>
      </c>
      <c r="X99" s="25">
        <v>0.6335</v>
      </c>
      <c r="Y99" s="18">
        <v>2.50665371671176</v>
      </c>
      <c r="Z99" s="18">
        <v>11.4825731629701</v>
      </c>
    </row>
    <row r="100" s="1" customFormat="1" ht="12.75" spans="1:26">
      <c r="A100" s="7"/>
      <c r="B100" s="7"/>
      <c r="C100" s="7"/>
      <c r="D100" s="7" t="s">
        <v>276</v>
      </c>
      <c r="E100" s="7">
        <v>3</v>
      </c>
      <c r="F100" s="13">
        <v>6.59261842310715</v>
      </c>
      <c r="G100" s="13">
        <v>239.564017013794</v>
      </c>
      <c r="H100" s="13">
        <v>335951.374515516</v>
      </c>
      <c r="I100" s="13">
        <v>370.145616537171</v>
      </c>
      <c r="J100" s="13">
        <v>22.440340788283</v>
      </c>
      <c r="K100" s="13">
        <v>31</v>
      </c>
      <c r="L100" s="13">
        <v>4</v>
      </c>
      <c r="M100" s="13">
        <v>74.068458277297</v>
      </c>
      <c r="N100" s="19">
        <v>47.4879366675424</v>
      </c>
      <c r="O100" s="13">
        <v>18.142342819982</v>
      </c>
      <c r="P100" s="13">
        <v>104.453902543638</v>
      </c>
      <c r="Q100" s="26">
        <v>0.021552458216108</v>
      </c>
      <c r="R100" s="18">
        <v>5.38102173181647</v>
      </c>
      <c r="S100" s="18">
        <v>3.32801030367027</v>
      </c>
      <c r="T100" s="25">
        <v>0.175</v>
      </c>
      <c r="U100" s="13">
        <v>151.422303531389</v>
      </c>
      <c r="V100" s="18">
        <v>0.70913579136941</v>
      </c>
      <c r="W100" s="18">
        <v>0.155406031311427</v>
      </c>
      <c r="X100" s="18">
        <v>5.017</v>
      </c>
      <c r="Y100" s="18">
        <v>1.73201809901118</v>
      </c>
      <c r="Z100" s="18">
        <v>10.1311516489782</v>
      </c>
    </row>
    <row r="101" s="1" customFormat="1" ht="12.75" spans="1:26">
      <c r="A101" s="7"/>
      <c r="B101" s="7"/>
      <c r="C101" s="7"/>
      <c r="D101" s="7" t="s">
        <v>276</v>
      </c>
      <c r="E101" s="7">
        <v>4</v>
      </c>
      <c r="F101" s="13">
        <v>10.687689288419</v>
      </c>
      <c r="G101" s="13">
        <v>323.472103632173</v>
      </c>
      <c r="H101" s="13">
        <v>341277.963064125</v>
      </c>
      <c r="I101" s="13">
        <v>314.681875308982</v>
      </c>
      <c r="J101" s="13">
        <v>35</v>
      </c>
      <c r="K101" s="13">
        <v>31</v>
      </c>
      <c r="L101" s="13">
        <v>4</v>
      </c>
      <c r="M101" s="13">
        <v>169</v>
      </c>
      <c r="N101" s="13">
        <v>4.5</v>
      </c>
      <c r="O101" s="13">
        <v>20.864636648859</v>
      </c>
      <c r="P101" s="13">
        <v>6</v>
      </c>
      <c r="Q101" s="26">
        <v>0.023983083629012</v>
      </c>
      <c r="R101" s="18">
        <v>4.72254134144816</v>
      </c>
      <c r="S101" s="18">
        <v>2.93874732185254</v>
      </c>
      <c r="T101" s="25">
        <v>0.145</v>
      </c>
      <c r="U101" s="13">
        <v>145.472572617747</v>
      </c>
      <c r="V101" s="18">
        <v>0.535730086798795</v>
      </c>
      <c r="W101" s="18">
        <v>0.191696389453622</v>
      </c>
      <c r="X101" s="25">
        <v>0.6395</v>
      </c>
      <c r="Y101" s="18">
        <v>1.82228716805493</v>
      </c>
      <c r="Z101" s="18">
        <v>9.19067782869173</v>
      </c>
    </row>
    <row r="102" s="1" customFormat="1" ht="12.75" spans="1:26">
      <c r="A102" s="7"/>
      <c r="B102" s="7"/>
      <c r="C102" s="7"/>
      <c r="D102" s="7" t="s">
        <v>276</v>
      </c>
      <c r="E102" s="7">
        <v>5</v>
      </c>
      <c r="F102" s="13">
        <v>2.46942234030459</v>
      </c>
      <c r="G102" s="13">
        <v>91.7282802223423</v>
      </c>
      <c r="H102" s="13">
        <v>342127.924986253</v>
      </c>
      <c r="I102" s="13">
        <v>418.002554998372</v>
      </c>
      <c r="J102" s="13">
        <v>18.082187323899</v>
      </c>
      <c r="K102" s="13">
        <v>31</v>
      </c>
      <c r="L102" s="13">
        <v>4</v>
      </c>
      <c r="M102" s="13">
        <v>109.613714427286</v>
      </c>
      <c r="N102" s="13">
        <v>4.5</v>
      </c>
      <c r="O102" s="13">
        <v>17.150515590485</v>
      </c>
      <c r="P102" s="13">
        <v>91.7532277646864</v>
      </c>
      <c r="Q102" s="26">
        <v>0.034823127672842</v>
      </c>
      <c r="R102" s="18">
        <v>7.31853996533189</v>
      </c>
      <c r="S102" s="18">
        <v>2.50917404428968</v>
      </c>
      <c r="T102" s="25">
        <v>0.157</v>
      </c>
      <c r="U102" s="13">
        <v>127.663721199382</v>
      </c>
      <c r="V102" s="18">
        <v>0.680485233857166</v>
      </c>
      <c r="W102" s="18">
        <v>0.125568001885421</v>
      </c>
      <c r="X102" s="18">
        <v>1.84515947008066</v>
      </c>
      <c r="Y102" s="18">
        <v>1.8800145044315</v>
      </c>
      <c r="Z102" s="18">
        <v>9.10016547589128</v>
      </c>
    </row>
    <row r="103" s="1" customFormat="1" ht="12.75" spans="1:26">
      <c r="A103" s="7"/>
      <c r="B103" s="7"/>
      <c r="C103" s="7"/>
      <c r="D103" s="7" t="s">
        <v>276</v>
      </c>
      <c r="E103" s="7">
        <v>6</v>
      </c>
      <c r="F103" s="13">
        <v>8.25482413351747</v>
      </c>
      <c r="G103" s="13">
        <v>382.067779636483</v>
      </c>
      <c r="H103" s="13">
        <v>347332.947806307</v>
      </c>
      <c r="I103" s="13">
        <v>178.838075617929</v>
      </c>
      <c r="J103" s="13">
        <v>179.486147513498</v>
      </c>
      <c r="K103" s="13">
        <v>31</v>
      </c>
      <c r="L103" s="13">
        <v>4</v>
      </c>
      <c r="M103" s="13">
        <v>147.202450823054</v>
      </c>
      <c r="N103" s="13">
        <v>4.5</v>
      </c>
      <c r="O103" s="13">
        <v>26.931304611543</v>
      </c>
      <c r="P103" s="13">
        <v>49.964464812723</v>
      </c>
      <c r="Q103" s="26">
        <v>0.014740796320287</v>
      </c>
      <c r="R103" s="18">
        <v>10.2310126312043</v>
      </c>
      <c r="S103" s="18">
        <v>2.55008842399178</v>
      </c>
      <c r="T103" s="25">
        <v>0.1085</v>
      </c>
      <c r="U103" s="13">
        <v>102.989278285644</v>
      </c>
      <c r="V103" s="18">
        <v>0.720788744485694</v>
      </c>
      <c r="W103" s="18">
        <v>0.163836390343226</v>
      </c>
      <c r="X103" s="25">
        <v>0.4725</v>
      </c>
      <c r="Y103" s="18">
        <v>0.914036736847796</v>
      </c>
      <c r="Z103" s="18">
        <v>7.2652854217247</v>
      </c>
    </row>
    <row r="104" s="1" customFormat="1" ht="12.75" spans="1:26">
      <c r="A104" s="7"/>
      <c r="B104" s="7" t="s">
        <v>221</v>
      </c>
      <c r="C104" s="7" t="s">
        <v>273</v>
      </c>
      <c r="D104" s="7" t="s">
        <v>276</v>
      </c>
      <c r="E104" s="7">
        <v>1</v>
      </c>
      <c r="F104" s="13">
        <v>18.4615073895257</v>
      </c>
      <c r="G104" s="13">
        <v>342.404915548128</v>
      </c>
      <c r="H104" s="13">
        <v>337652.971121833</v>
      </c>
      <c r="I104" s="13">
        <v>210.430594225513</v>
      </c>
      <c r="J104" s="13">
        <v>313.106241827753</v>
      </c>
      <c r="K104" s="13">
        <v>129.460869783339</v>
      </c>
      <c r="L104" s="13">
        <v>4</v>
      </c>
      <c r="M104" s="13">
        <v>86.104732338662</v>
      </c>
      <c r="N104" s="19">
        <v>27.4712960973372</v>
      </c>
      <c r="O104" s="13">
        <v>7.5</v>
      </c>
      <c r="P104" s="13">
        <v>34.5427283077975</v>
      </c>
      <c r="Q104" s="26">
        <v>0.0045</v>
      </c>
      <c r="R104" s="18">
        <v>7.23934905867991</v>
      </c>
      <c r="S104" s="18">
        <v>1.48194925294731</v>
      </c>
      <c r="T104" s="25">
        <v>0.113</v>
      </c>
      <c r="U104" s="13">
        <v>101.846700563774</v>
      </c>
      <c r="V104" s="18">
        <v>0.300362539589869</v>
      </c>
      <c r="W104" s="25">
        <v>0.035</v>
      </c>
      <c r="X104" s="25">
        <v>0.481</v>
      </c>
      <c r="Y104" s="18">
        <v>1.20974681145914</v>
      </c>
      <c r="Z104" s="18">
        <v>41.6158563170558</v>
      </c>
    </row>
    <row r="105" s="1" customFormat="1" ht="12.75" spans="1:26">
      <c r="A105" s="7"/>
      <c r="B105" s="7"/>
      <c r="C105" s="7"/>
      <c r="D105" s="7" t="s">
        <v>276</v>
      </c>
      <c r="E105" s="7">
        <v>2</v>
      </c>
      <c r="F105" s="13">
        <v>2.62431447986296</v>
      </c>
      <c r="G105" s="13">
        <v>102.421260010151</v>
      </c>
      <c r="H105" s="13">
        <v>322547.88507185</v>
      </c>
      <c r="I105" s="13">
        <v>460.241549666242</v>
      </c>
      <c r="J105" s="13">
        <v>6</v>
      </c>
      <c r="K105" s="13">
        <v>31</v>
      </c>
      <c r="L105" s="13">
        <v>4</v>
      </c>
      <c r="M105" s="13">
        <v>88.0534848149585</v>
      </c>
      <c r="N105" s="13">
        <v>4.5</v>
      </c>
      <c r="O105" s="13">
        <v>7.5</v>
      </c>
      <c r="P105" s="13">
        <v>36.747678471182</v>
      </c>
      <c r="Q105" s="26">
        <v>0.025508421483857</v>
      </c>
      <c r="R105" s="18">
        <v>3.69991576588963</v>
      </c>
      <c r="S105" s="18">
        <v>2.72157586737625</v>
      </c>
      <c r="T105" s="25">
        <v>0.1095</v>
      </c>
      <c r="U105" s="13">
        <v>106.984432113829</v>
      </c>
      <c r="V105" s="18">
        <v>1.02682754504893</v>
      </c>
      <c r="W105" s="25">
        <v>0.034</v>
      </c>
      <c r="X105" s="18">
        <v>1.2601788398052</v>
      </c>
      <c r="Y105" s="18">
        <v>0.843451617785308</v>
      </c>
      <c r="Z105" s="18">
        <v>25.4011570308549</v>
      </c>
    </row>
    <row r="106" s="1" customFormat="1" ht="12.75" spans="1:26">
      <c r="A106" s="7"/>
      <c r="B106" s="7"/>
      <c r="C106" s="7"/>
      <c r="D106" s="7" t="s">
        <v>276</v>
      </c>
      <c r="E106" s="7">
        <v>3</v>
      </c>
      <c r="F106" s="13">
        <v>2.09955376010184</v>
      </c>
      <c r="G106" s="13">
        <v>54.6752057003726</v>
      </c>
      <c r="H106" s="13">
        <v>341402.79027667</v>
      </c>
      <c r="I106" s="13">
        <v>185.572463506112</v>
      </c>
      <c r="J106" s="13">
        <v>20.327096629625</v>
      </c>
      <c r="K106" s="13">
        <v>31</v>
      </c>
      <c r="L106" s="13">
        <v>15.80783958361</v>
      </c>
      <c r="M106" s="13">
        <v>59.277423939166</v>
      </c>
      <c r="N106" s="13">
        <v>4.5</v>
      </c>
      <c r="O106" s="13">
        <v>7.5</v>
      </c>
      <c r="P106" s="13">
        <v>6</v>
      </c>
      <c r="Q106" s="26">
        <v>0.0045</v>
      </c>
      <c r="R106" s="18">
        <v>3.33916786349244</v>
      </c>
      <c r="S106" s="18">
        <v>1.3438176834638</v>
      </c>
      <c r="T106" s="25">
        <v>0.155</v>
      </c>
      <c r="U106" s="13">
        <v>115.19052186981</v>
      </c>
      <c r="V106" s="18">
        <v>0.509329369194951</v>
      </c>
      <c r="W106" s="25">
        <v>0.048</v>
      </c>
      <c r="X106" s="25">
        <v>0.664</v>
      </c>
      <c r="Y106" s="18">
        <v>0.359977797014969</v>
      </c>
      <c r="Z106" s="18">
        <v>45.5252029703624</v>
      </c>
    </row>
    <row r="107" s="1" customFormat="1" ht="12.75" spans="1:26">
      <c r="A107" s="7"/>
      <c r="B107" s="7"/>
      <c r="C107" s="7"/>
      <c r="D107" s="7" t="s">
        <v>276</v>
      </c>
      <c r="E107" s="7">
        <v>4</v>
      </c>
      <c r="F107" s="13">
        <v>0.623011931818437</v>
      </c>
      <c r="G107" s="13">
        <v>36.9121006811534</v>
      </c>
      <c r="H107" s="13">
        <v>331006.970222903</v>
      </c>
      <c r="I107" s="13">
        <v>284.674799564999</v>
      </c>
      <c r="J107" s="13">
        <v>6</v>
      </c>
      <c r="K107" s="13">
        <v>31</v>
      </c>
      <c r="L107" s="13">
        <v>4</v>
      </c>
      <c r="M107" s="13">
        <v>110.971189974824</v>
      </c>
      <c r="N107" s="13">
        <v>4.5</v>
      </c>
      <c r="O107" s="13">
        <v>7.5</v>
      </c>
      <c r="P107" s="13">
        <v>6</v>
      </c>
      <c r="Q107" s="26">
        <v>0.035208687313014</v>
      </c>
      <c r="R107" s="18">
        <v>3.48300358009927</v>
      </c>
      <c r="S107" s="18">
        <v>1.68458233567134</v>
      </c>
      <c r="T107" s="25">
        <v>0.1535</v>
      </c>
      <c r="U107" s="13">
        <v>125.186058444988</v>
      </c>
      <c r="V107" s="18">
        <v>0.542318374147378</v>
      </c>
      <c r="W107" s="25">
        <v>0.047</v>
      </c>
      <c r="X107" s="25">
        <v>0.6505</v>
      </c>
      <c r="Y107" s="18">
        <v>0.500254147764282</v>
      </c>
      <c r="Z107" s="18">
        <v>32.6772513992315</v>
      </c>
    </row>
    <row r="108" s="1" customFormat="1" ht="12.75" spans="1:26">
      <c r="A108" s="7"/>
      <c r="B108" s="7"/>
      <c r="C108" s="7"/>
      <c r="D108" s="7" t="s">
        <v>276</v>
      </c>
      <c r="E108" s="7">
        <v>5</v>
      </c>
      <c r="F108" s="13">
        <v>1.16574281880484</v>
      </c>
      <c r="G108" s="13">
        <v>67.1284626331884</v>
      </c>
      <c r="H108" s="13">
        <v>372621.479893824</v>
      </c>
      <c r="I108" s="13">
        <v>339.678961977091</v>
      </c>
      <c r="J108" s="13">
        <v>26.588728566858</v>
      </c>
      <c r="K108" s="13">
        <v>31</v>
      </c>
      <c r="L108" s="13">
        <v>4</v>
      </c>
      <c r="M108" s="13">
        <v>39.3399499965295</v>
      </c>
      <c r="N108" s="13">
        <v>4.5</v>
      </c>
      <c r="O108" s="13">
        <v>18.84201181625</v>
      </c>
      <c r="P108" s="13">
        <v>6</v>
      </c>
      <c r="Q108" s="26">
        <v>0.014336013653808</v>
      </c>
      <c r="R108" s="18">
        <v>4.3669927750423</v>
      </c>
      <c r="S108" s="18">
        <v>2.14310107498698</v>
      </c>
      <c r="T108" s="25">
        <v>0.113</v>
      </c>
      <c r="U108" s="13">
        <v>110.948331556156</v>
      </c>
      <c r="V108" s="18">
        <v>0.391490082889814</v>
      </c>
      <c r="W108" s="25">
        <v>0.035</v>
      </c>
      <c r="X108" s="25">
        <v>0.48</v>
      </c>
      <c r="Y108" s="18">
        <v>0.390863155763878</v>
      </c>
      <c r="Z108" s="18">
        <v>38.1390851691253</v>
      </c>
    </row>
    <row r="109" s="1" customFormat="1" ht="12.75" spans="1:26">
      <c r="A109" s="7"/>
      <c r="B109" s="7"/>
      <c r="C109" s="7"/>
      <c r="D109" s="7" t="s">
        <v>276</v>
      </c>
      <c r="E109" s="7">
        <v>6</v>
      </c>
      <c r="F109" s="13">
        <v>0.676411643146554</v>
      </c>
      <c r="G109" s="13">
        <v>56.1189379620973</v>
      </c>
      <c r="H109" s="13">
        <v>331766.868887647</v>
      </c>
      <c r="I109" s="13">
        <v>256.197388363007</v>
      </c>
      <c r="J109" s="13">
        <v>470</v>
      </c>
      <c r="K109" s="13">
        <v>416</v>
      </c>
      <c r="L109" s="13">
        <v>4</v>
      </c>
      <c r="M109" s="13">
        <v>11.5</v>
      </c>
      <c r="N109" s="13">
        <v>4.5</v>
      </c>
      <c r="O109" s="13">
        <v>7.5</v>
      </c>
      <c r="P109" s="13">
        <v>22</v>
      </c>
      <c r="Q109" s="26">
        <v>0.009384556709903</v>
      </c>
      <c r="R109" s="18">
        <v>4.36488669735983</v>
      </c>
      <c r="S109" s="18">
        <v>1.30532008885034</v>
      </c>
      <c r="T109" s="25">
        <v>0.162</v>
      </c>
      <c r="U109" s="13">
        <v>114.76767738756</v>
      </c>
      <c r="V109" s="18">
        <v>0.403657849294102</v>
      </c>
      <c r="W109" s="25">
        <v>0.0515</v>
      </c>
      <c r="X109" s="18">
        <v>1.93511147269562</v>
      </c>
      <c r="Y109" s="18">
        <v>1.21155127509542</v>
      </c>
      <c r="Z109" s="18">
        <v>18.9025150869774</v>
      </c>
    </row>
    <row r="110" s="1" customFormat="1" ht="12.75" spans="1:26">
      <c r="A110" s="7"/>
      <c r="B110" s="7"/>
      <c r="C110" s="7"/>
      <c r="D110" s="7" t="s">
        <v>276</v>
      </c>
      <c r="E110" s="7">
        <v>7</v>
      </c>
      <c r="F110" s="13">
        <v>0.764849908849924</v>
      </c>
      <c r="G110" s="13">
        <v>27.9013655587645</v>
      </c>
      <c r="H110" s="13">
        <v>346458.447599926</v>
      </c>
      <c r="I110" s="13">
        <v>274.125998854748</v>
      </c>
      <c r="J110" s="13">
        <v>505.323056138403</v>
      </c>
      <c r="K110" s="13">
        <v>81.050793945203</v>
      </c>
      <c r="L110" s="13">
        <v>4</v>
      </c>
      <c r="M110" s="13">
        <v>99.8282316590085</v>
      </c>
      <c r="N110" s="13">
        <v>4.5</v>
      </c>
      <c r="O110" s="13">
        <v>7.5</v>
      </c>
      <c r="P110" s="13">
        <v>22.876581149283</v>
      </c>
      <c r="Q110" s="26">
        <v>0.0045</v>
      </c>
      <c r="R110" s="18">
        <v>5.25563234690858</v>
      </c>
      <c r="S110" s="18">
        <v>1.62444940263893</v>
      </c>
      <c r="T110" s="25">
        <v>0.1285</v>
      </c>
      <c r="U110" s="13">
        <v>105.068815854231</v>
      </c>
      <c r="V110" s="18">
        <v>0.396067802504223</v>
      </c>
      <c r="W110" s="25">
        <v>0.041</v>
      </c>
      <c r="X110" s="18">
        <v>1.57421478754015</v>
      </c>
      <c r="Y110" s="18">
        <v>0.785379689910332</v>
      </c>
      <c r="Z110" s="18">
        <v>14.8998042348291</v>
      </c>
    </row>
    <row r="111" s="1" customFormat="1" ht="12.75" spans="1:26">
      <c r="A111" s="7"/>
      <c r="B111" s="7" t="s">
        <v>223</v>
      </c>
      <c r="C111" s="7" t="s">
        <v>273</v>
      </c>
      <c r="D111" s="7" t="s">
        <v>276</v>
      </c>
      <c r="E111" s="7">
        <v>1</v>
      </c>
      <c r="F111" s="13">
        <v>2.34843559629316</v>
      </c>
      <c r="G111" s="13">
        <v>264.694245770407</v>
      </c>
      <c r="H111" s="13">
        <v>329018.533926145</v>
      </c>
      <c r="I111" s="13">
        <v>450.7575867641</v>
      </c>
      <c r="J111" s="13">
        <v>109.671054011217</v>
      </c>
      <c r="K111" s="13">
        <v>297.607871053216</v>
      </c>
      <c r="L111" s="19">
        <v>66.496751876844</v>
      </c>
      <c r="M111" s="13">
        <v>391.609863638944</v>
      </c>
      <c r="N111" s="13">
        <v>4.5</v>
      </c>
      <c r="O111" s="13">
        <v>7.5</v>
      </c>
      <c r="P111" s="13">
        <v>6</v>
      </c>
      <c r="Q111" s="26">
        <v>0.010214802434263</v>
      </c>
      <c r="R111" s="18">
        <v>2.56387054259551</v>
      </c>
      <c r="S111" s="18">
        <v>1.11892444096795</v>
      </c>
      <c r="T111" s="25">
        <v>0.112</v>
      </c>
      <c r="U111" s="13">
        <v>91.2916826566783</v>
      </c>
      <c r="V111" s="18">
        <v>0.117685322197192</v>
      </c>
      <c r="W111" s="25">
        <v>0.0345</v>
      </c>
      <c r="X111" s="25">
        <v>0.4765</v>
      </c>
      <c r="Y111" s="18">
        <v>1.42599743707124</v>
      </c>
      <c r="Z111" s="18">
        <v>7.81182029719108</v>
      </c>
    </row>
    <row r="112" s="1" customFormat="1" ht="12.75" spans="1:26">
      <c r="A112" s="7"/>
      <c r="B112" s="7"/>
      <c r="C112" s="7"/>
      <c r="D112" s="7" t="s">
        <v>276</v>
      </c>
      <c r="E112" s="7">
        <v>2</v>
      </c>
      <c r="F112" s="13">
        <v>2.40785046436302</v>
      </c>
      <c r="G112" s="13">
        <v>114.919980743796</v>
      </c>
      <c r="H112" s="13">
        <v>352675.230073052</v>
      </c>
      <c r="I112" s="13">
        <v>241.81578213454</v>
      </c>
      <c r="J112" s="13">
        <v>172</v>
      </c>
      <c r="K112" s="13">
        <v>161</v>
      </c>
      <c r="L112" s="13">
        <v>4</v>
      </c>
      <c r="M112" s="13">
        <v>114</v>
      </c>
      <c r="N112" s="13">
        <v>4.5</v>
      </c>
      <c r="O112" s="13">
        <v>7.5</v>
      </c>
      <c r="P112" s="13">
        <v>6</v>
      </c>
      <c r="Q112" s="26">
        <v>0.010459183943971</v>
      </c>
      <c r="R112" s="18">
        <v>2.56606973798297</v>
      </c>
      <c r="S112" s="18">
        <v>0.818740753815899</v>
      </c>
      <c r="T112" s="25">
        <v>0.097</v>
      </c>
      <c r="U112" s="13">
        <v>113.681253603985</v>
      </c>
      <c r="V112" s="18">
        <v>0.061097044984217</v>
      </c>
      <c r="W112" s="25">
        <v>0.0295</v>
      </c>
      <c r="X112" s="18">
        <v>0.946295997331688</v>
      </c>
      <c r="Y112" s="18">
        <v>1.94833922803035</v>
      </c>
      <c r="Z112" s="18">
        <v>8.81132723195755</v>
      </c>
    </row>
    <row r="113" s="1" customFormat="1" ht="12.75" spans="1:26">
      <c r="A113" s="7"/>
      <c r="B113" s="7"/>
      <c r="C113" s="7"/>
      <c r="D113" s="7" t="s">
        <v>276</v>
      </c>
      <c r="E113" s="7">
        <v>3</v>
      </c>
      <c r="F113" s="13">
        <v>0.273775874959858</v>
      </c>
      <c r="G113" s="13">
        <v>22.9416003428587</v>
      </c>
      <c r="H113" s="13">
        <v>336439.147147486</v>
      </c>
      <c r="I113" s="13">
        <v>204.901009933125</v>
      </c>
      <c r="J113" s="13">
        <v>55.953980820578</v>
      </c>
      <c r="K113" s="13">
        <v>31</v>
      </c>
      <c r="L113" s="13">
        <v>9.371714465066</v>
      </c>
      <c r="M113" s="13">
        <v>52.6653409325245</v>
      </c>
      <c r="N113" s="13">
        <v>4.5</v>
      </c>
      <c r="O113" s="19">
        <v>34.177031155016</v>
      </c>
      <c r="P113" s="13">
        <v>6</v>
      </c>
      <c r="Q113" s="26">
        <v>0.0045</v>
      </c>
      <c r="R113" s="18">
        <v>3.00527471056383</v>
      </c>
      <c r="S113" s="18">
        <v>1.41303545175515</v>
      </c>
      <c r="T113" s="25">
        <v>0.1585</v>
      </c>
      <c r="U113" s="13">
        <v>113.581721894645</v>
      </c>
      <c r="V113" s="18">
        <v>0.086125427777653</v>
      </c>
      <c r="W113" s="25">
        <v>0.0485</v>
      </c>
      <c r="X113" s="18">
        <v>2.86752903588506</v>
      </c>
      <c r="Y113" s="18">
        <v>0.392547019177958</v>
      </c>
      <c r="Z113" s="18">
        <v>8.03005544637234</v>
      </c>
    </row>
    <row r="114" s="1" customFormat="1" ht="12.75" spans="1:26">
      <c r="A114" s="7"/>
      <c r="B114" s="7"/>
      <c r="C114" s="7"/>
      <c r="D114" s="7" t="s">
        <v>276</v>
      </c>
      <c r="E114" s="7">
        <v>4</v>
      </c>
      <c r="F114" s="13">
        <v>5.85717846721412</v>
      </c>
      <c r="G114" s="13">
        <v>328.883343997282</v>
      </c>
      <c r="H114" s="13">
        <v>339993.224577507</v>
      </c>
      <c r="I114" s="13">
        <v>129.486553179272</v>
      </c>
      <c r="J114" s="13">
        <v>188.54243503147</v>
      </c>
      <c r="K114" s="13">
        <v>124.01955461191</v>
      </c>
      <c r="L114" s="13">
        <v>4</v>
      </c>
      <c r="M114" s="13">
        <v>47.60355804799</v>
      </c>
      <c r="N114" s="13">
        <v>4.5</v>
      </c>
      <c r="O114" s="13">
        <v>7.5</v>
      </c>
      <c r="P114" s="13">
        <v>6</v>
      </c>
      <c r="Q114" s="26">
        <v>0.015464034977493</v>
      </c>
      <c r="R114" s="18">
        <v>5.6139223681744</v>
      </c>
      <c r="S114" s="18">
        <v>1.25110787266853</v>
      </c>
      <c r="T114" s="25">
        <v>0.139</v>
      </c>
      <c r="U114" s="13">
        <v>105.242578412604</v>
      </c>
      <c r="V114" s="18">
        <v>0.159439354948309</v>
      </c>
      <c r="W114" s="25">
        <v>0.0425</v>
      </c>
      <c r="X114" s="25">
        <v>0.5925</v>
      </c>
      <c r="Y114" s="18">
        <v>3.17148114300505</v>
      </c>
      <c r="Z114" s="18">
        <v>16.3038085635692</v>
      </c>
    </row>
    <row r="115" s="1" customFormat="1" ht="12.75" spans="1:26">
      <c r="A115" s="7"/>
      <c r="B115" s="7"/>
      <c r="C115" s="7"/>
      <c r="D115" s="7" t="s">
        <v>276</v>
      </c>
      <c r="E115" s="7">
        <v>5</v>
      </c>
      <c r="F115" s="13">
        <v>0.723574619687734</v>
      </c>
      <c r="G115" s="13">
        <v>281.026505572718</v>
      </c>
      <c r="H115" s="13">
        <v>350320.439626972</v>
      </c>
      <c r="I115" s="13">
        <v>210.762073637027</v>
      </c>
      <c r="J115" s="13">
        <v>615.162531771285</v>
      </c>
      <c r="K115" s="13">
        <v>31</v>
      </c>
      <c r="L115" s="13">
        <v>4</v>
      </c>
      <c r="M115" s="13">
        <v>100.647746681939</v>
      </c>
      <c r="N115" s="13">
        <v>4.5</v>
      </c>
      <c r="O115" s="13">
        <v>7.5</v>
      </c>
      <c r="P115" s="13">
        <v>6</v>
      </c>
      <c r="Q115" s="26">
        <v>0.0045</v>
      </c>
      <c r="R115" s="18">
        <v>1.75162128214526</v>
      </c>
      <c r="S115" s="18">
        <v>1.07756468824611</v>
      </c>
      <c r="T115" s="25">
        <v>0.1095</v>
      </c>
      <c r="U115" s="13">
        <v>79.7087984321728</v>
      </c>
      <c r="V115" s="18">
        <v>0.140643389065939</v>
      </c>
      <c r="W115" s="25">
        <v>0.0335</v>
      </c>
      <c r="X115" s="25">
        <v>0.4635</v>
      </c>
      <c r="Y115" s="18">
        <v>0.642798409375545</v>
      </c>
      <c r="Z115" s="18">
        <v>6.08674884039699</v>
      </c>
    </row>
    <row r="116" s="1" customFormat="1" ht="12.75" spans="1:26">
      <c r="A116" s="7"/>
      <c r="B116" s="7"/>
      <c r="C116" s="7"/>
      <c r="D116" s="7" t="s">
        <v>276</v>
      </c>
      <c r="E116" s="7">
        <v>6</v>
      </c>
      <c r="F116" s="13">
        <v>7.28513676844847</v>
      </c>
      <c r="G116" s="13">
        <v>533.61974824698</v>
      </c>
      <c r="H116" s="13">
        <v>319157.516461446</v>
      </c>
      <c r="I116" s="13">
        <v>155.01024814855</v>
      </c>
      <c r="J116" s="13">
        <v>6</v>
      </c>
      <c r="K116" s="13">
        <v>82</v>
      </c>
      <c r="L116" s="13">
        <v>22</v>
      </c>
      <c r="M116" s="13">
        <v>94.7037041288</v>
      </c>
      <c r="N116" s="13">
        <v>4.5</v>
      </c>
      <c r="O116" s="13">
        <v>7.5</v>
      </c>
      <c r="P116" s="13">
        <v>6</v>
      </c>
      <c r="Q116" s="26">
        <v>0.0045</v>
      </c>
      <c r="R116" s="18">
        <v>4.5309711144076</v>
      </c>
      <c r="S116" s="18">
        <v>1.32654505066414</v>
      </c>
      <c r="T116" s="25">
        <v>0.132</v>
      </c>
      <c r="U116" s="13">
        <v>83.319489908823</v>
      </c>
      <c r="V116" s="18">
        <v>0.097494266589165</v>
      </c>
      <c r="W116" s="25">
        <v>0.04</v>
      </c>
      <c r="X116" s="25">
        <v>0.568</v>
      </c>
      <c r="Y116" s="18">
        <v>2.44089815465117</v>
      </c>
      <c r="Z116" s="18">
        <v>12.159279800799</v>
      </c>
    </row>
    <row r="117" s="1" customFormat="1" ht="12.75" spans="1:26">
      <c r="A117" s="7"/>
      <c r="B117" s="7"/>
      <c r="C117" s="7"/>
      <c r="D117" s="7" t="s">
        <v>276</v>
      </c>
      <c r="E117" s="7">
        <v>7</v>
      </c>
      <c r="F117" s="13">
        <v>6.84273037057927</v>
      </c>
      <c r="G117" s="13">
        <v>173.080800386378</v>
      </c>
      <c r="H117" s="13">
        <v>338285.511295436</v>
      </c>
      <c r="I117" s="13">
        <v>178.029329480812</v>
      </c>
      <c r="J117" s="13">
        <v>16.818031819281</v>
      </c>
      <c r="K117" s="13">
        <v>234.863461640083</v>
      </c>
      <c r="L117" s="13">
        <v>22.569671117184</v>
      </c>
      <c r="M117" s="13">
        <v>100.610242789148</v>
      </c>
      <c r="N117" s="13">
        <v>4.5</v>
      </c>
      <c r="O117" s="13">
        <v>7.5</v>
      </c>
      <c r="P117" s="13">
        <v>6</v>
      </c>
      <c r="Q117" s="24">
        <v>0.033100038572618</v>
      </c>
      <c r="R117" s="18">
        <v>4.88020132713966</v>
      </c>
      <c r="S117" s="18">
        <v>1.53753860486704</v>
      </c>
      <c r="T117" s="25">
        <v>0.152</v>
      </c>
      <c r="U117" s="13">
        <v>89.3617767816533</v>
      </c>
      <c r="V117" s="25">
        <v>0.034</v>
      </c>
      <c r="W117" s="25">
        <v>0.0465</v>
      </c>
      <c r="X117" s="25">
        <v>0.6525</v>
      </c>
      <c r="Y117" s="18">
        <v>2.48245053946498</v>
      </c>
      <c r="Z117" s="18">
        <v>10.0994150265588</v>
      </c>
    </row>
    <row r="118" s="1" customFormat="1" ht="12.75" spans="1:26">
      <c r="A118" s="7"/>
      <c r="B118" s="7"/>
      <c r="C118" s="7"/>
      <c r="D118" s="7" t="s">
        <v>276</v>
      </c>
      <c r="E118" s="7">
        <v>8</v>
      </c>
      <c r="F118" s="13">
        <v>1.56335621673291</v>
      </c>
      <c r="G118" s="13">
        <v>93.2898880898052</v>
      </c>
      <c r="H118" s="13">
        <v>340586.4774278</v>
      </c>
      <c r="I118" s="13">
        <v>238.188426314132</v>
      </c>
      <c r="J118" s="13">
        <v>31</v>
      </c>
      <c r="K118" s="13">
        <v>31</v>
      </c>
      <c r="L118" s="13">
        <v>26</v>
      </c>
      <c r="M118" s="13">
        <v>47</v>
      </c>
      <c r="N118" s="13">
        <v>4.5</v>
      </c>
      <c r="O118" s="13">
        <v>7.5</v>
      </c>
      <c r="P118" s="13">
        <v>6</v>
      </c>
      <c r="Q118" s="26">
        <v>0.0045</v>
      </c>
      <c r="R118" s="18">
        <v>4.7706579079049</v>
      </c>
      <c r="S118" s="18">
        <v>1.86475948348308</v>
      </c>
      <c r="T118" s="25">
        <v>0.2525</v>
      </c>
      <c r="U118" s="13">
        <v>143.614062484838</v>
      </c>
      <c r="V118" s="18">
        <v>0.127812014995837</v>
      </c>
      <c r="W118" s="25">
        <v>0.078</v>
      </c>
      <c r="X118" s="25">
        <v>1.094</v>
      </c>
      <c r="Y118" s="18">
        <v>1.40199288141886</v>
      </c>
      <c r="Z118" s="18">
        <v>7.42407472699328</v>
      </c>
    </row>
    <row r="119" s="1" customFormat="1" ht="12.75" spans="1:26">
      <c r="A119" s="28"/>
      <c r="B119" s="28"/>
      <c r="C119" s="28"/>
      <c r="D119" s="28" t="s">
        <v>276</v>
      </c>
      <c r="E119" s="28">
        <v>9</v>
      </c>
      <c r="F119" s="29">
        <v>0.59289169303379</v>
      </c>
      <c r="G119" s="29">
        <v>49.3425508643156</v>
      </c>
      <c r="H119" s="29">
        <v>322275.521261401</v>
      </c>
      <c r="I119" s="29">
        <v>182.75081398817</v>
      </c>
      <c r="J119" s="29">
        <v>185.234873112549</v>
      </c>
      <c r="K119" s="29">
        <v>85.544390396475</v>
      </c>
      <c r="L119" s="29">
        <v>4</v>
      </c>
      <c r="M119" s="29">
        <v>127.873469525677</v>
      </c>
      <c r="N119" s="29">
        <v>4.5</v>
      </c>
      <c r="O119" s="29">
        <v>7.5</v>
      </c>
      <c r="P119" s="29">
        <v>6</v>
      </c>
      <c r="Q119" s="35">
        <v>0.0045</v>
      </c>
      <c r="R119" s="36">
        <v>6.38764596652585</v>
      </c>
      <c r="S119" s="36">
        <v>1.13545897471928</v>
      </c>
      <c r="T119" s="37">
        <v>0.1795</v>
      </c>
      <c r="U119" s="29">
        <v>138.74422129568</v>
      </c>
      <c r="V119" s="36">
        <v>0.114681848400159</v>
      </c>
      <c r="W119" s="37">
        <v>0.0545</v>
      </c>
      <c r="X119" s="37">
        <v>0.766</v>
      </c>
      <c r="Y119" s="36">
        <v>2.07175115717654</v>
      </c>
      <c r="Z119" s="36">
        <v>11.6454755250467</v>
      </c>
    </row>
    <row r="120" s="1" customFormat="1" ht="12.75" spans="1:26">
      <c r="A120" s="30" t="s">
        <v>33</v>
      </c>
      <c r="B120" s="30" t="s">
        <v>277</v>
      </c>
      <c r="C120" s="30" t="s">
        <v>273</v>
      </c>
      <c r="D120" s="30" t="s">
        <v>274</v>
      </c>
      <c r="E120" s="30">
        <v>1</v>
      </c>
      <c r="F120" s="31">
        <v>61.7565808083643</v>
      </c>
      <c r="G120" s="31">
        <v>7646.07420370457</v>
      </c>
      <c r="H120" s="31">
        <v>0.621987067286107</v>
      </c>
      <c r="I120" s="34">
        <v>0.3815</v>
      </c>
      <c r="J120" s="31">
        <v>52.172890989064</v>
      </c>
      <c r="K120" s="31">
        <v>80.582527637225</v>
      </c>
      <c r="L120" s="31">
        <v>63.043289942972</v>
      </c>
      <c r="M120" s="31">
        <v>159.334316449321</v>
      </c>
      <c r="N120" s="31">
        <v>785.874957378391</v>
      </c>
      <c r="O120" s="31">
        <v>89.039046475313</v>
      </c>
      <c r="P120" s="31">
        <v>6</v>
      </c>
      <c r="Q120" s="38">
        <v>0.0045</v>
      </c>
      <c r="R120" s="39">
        <v>0.115</v>
      </c>
      <c r="S120" s="34">
        <v>0.078</v>
      </c>
      <c r="T120" s="39">
        <v>0.015</v>
      </c>
      <c r="U120" s="31">
        <v>36.7588464920547</v>
      </c>
      <c r="V120" s="39">
        <v>0.005</v>
      </c>
      <c r="W120" s="39">
        <v>0.0075</v>
      </c>
      <c r="X120" s="34">
        <v>0.404870034447694</v>
      </c>
      <c r="Y120" s="34">
        <v>0.096174030693959</v>
      </c>
      <c r="Z120" s="34">
        <v>1.22638588497509</v>
      </c>
    </row>
    <row r="121" s="1" customFormat="1" ht="12.75" spans="1:26">
      <c r="A121" s="7"/>
      <c r="B121" s="7"/>
      <c r="C121" s="7"/>
      <c r="D121" s="7" t="s">
        <v>274</v>
      </c>
      <c r="E121" s="7">
        <v>2</v>
      </c>
      <c r="F121" s="13">
        <v>65.2091073108596</v>
      </c>
      <c r="G121" s="13">
        <v>8042.2665253063</v>
      </c>
      <c r="H121" s="13">
        <v>1.08088968903518</v>
      </c>
      <c r="I121" s="18">
        <v>0.3815</v>
      </c>
      <c r="J121" s="13">
        <v>92.951189582093</v>
      </c>
      <c r="K121" s="13">
        <v>93.746924415935</v>
      </c>
      <c r="L121" s="13">
        <v>30.236170306661</v>
      </c>
      <c r="M121" s="13">
        <v>169.628852243594</v>
      </c>
      <c r="N121" s="13">
        <v>564.222435160044</v>
      </c>
      <c r="O121" s="13">
        <v>7.5</v>
      </c>
      <c r="P121" s="13">
        <v>6</v>
      </c>
      <c r="Q121" s="26">
        <v>0.0045</v>
      </c>
      <c r="R121" s="25">
        <v>0.1045</v>
      </c>
      <c r="S121" s="18">
        <v>0.078</v>
      </c>
      <c r="T121" s="18">
        <v>0.108964287715996</v>
      </c>
      <c r="U121" s="13">
        <v>40.8978708519976</v>
      </c>
      <c r="V121" s="25">
        <v>0.0045</v>
      </c>
      <c r="W121" s="18">
        <v>0.060246230143351</v>
      </c>
      <c r="X121" s="18">
        <v>0.44246044142834</v>
      </c>
      <c r="Y121" s="18">
        <v>0.078541666199408</v>
      </c>
      <c r="Z121" s="18">
        <v>0.371675294379524</v>
      </c>
    </row>
    <row r="122" s="1" customFormat="1" ht="12.75" spans="1:26">
      <c r="A122" s="7"/>
      <c r="B122" s="7"/>
      <c r="C122" s="7"/>
      <c r="D122" s="7" t="s">
        <v>274</v>
      </c>
      <c r="E122" s="7">
        <v>3</v>
      </c>
      <c r="F122" s="13">
        <v>79.1901497467111</v>
      </c>
      <c r="G122" s="13">
        <v>7578.78755757679</v>
      </c>
      <c r="H122" s="13">
        <v>0.614110410734856</v>
      </c>
      <c r="I122" s="18">
        <v>0.3815</v>
      </c>
      <c r="J122" s="13">
        <v>117.210132793813</v>
      </c>
      <c r="K122" s="13">
        <v>31</v>
      </c>
      <c r="L122" s="13">
        <v>49.319165223309</v>
      </c>
      <c r="M122" s="13">
        <v>154.319056689012</v>
      </c>
      <c r="N122" s="13">
        <v>1038.06506915777</v>
      </c>
      <c r="O122" s="13">
        <v>7.5</v>
      </c>
      <c r="P122" s="13">
        <v>6</v>
      </c>
      <c r="Q122" s="26">
        <v>0.0045</v>
      </c>
      <c r="R122" s="18">
        <v>0.389286765778062</v>
      </c>
      <c r="S122" s="18">
        <v>0.078</v>
      </c>
      <c r="T122" s="25">
        <v>0.017</v>
      </c>
      <c r="U122" s="13">
        <v>48.4555335424835</v>
      </c>
      <c r="V122" s="25">
        <v>0.0055</v>
      </c>
      <c r="W122" s="25">
        <v>0.0085</v>
      </c>
      <c r="X122" s="18">
        <v>1.58480273214148</v>
      </c>
      <c r="Y122" s="18">
        <v>0.091631653601823</v>
      </c>
      <c r="Z122" s="18">
        <v>0.262039077068102</v>
      </c>
    </row>
    <row r="123" s="1" customFormat="1" ht="12.75" spans="1:26">
      <c r="A123" s="7"/>
      <c r="B123" s="7"/>
      <c r="C123" s="7"/>
      <c r="D123" s="7" t="s">
        <v>274</v>
      </c>
      <c r="E123" s="7">
        <v>4</v>
      </c>
      <c r="F123" s="13">
        <v>66.6559496694674</v>
      </c>
      <c r="G123" s="13">
        <v>6026.30654831812</v>
      </c>
      <c r="H123" s="13">
        <v>0.485690034750296</v>
      </c>
      <c r="I123" s="18">
        <v>0.3815</v>
      </c>
      <c r="J123" s="13">
        <v>88.217350154362</v>
      </c>
      <c r="K123" s="13">
        <v>31</v>
      </c>
      <c r="L123" s="13">
        <v>4</v>
      </c>
      <c r="M123" s="13">
        <v>92.7832029054765</v>
      </c>
      <c r="N123" s="13">
        <v>514.840019415462</v>
      </c>
      <c r="O123" s="13">
        <v>7.5</v>
      </c>
      <c r="P123" s="13">
        <v>6</v>
      </c>
      <c r="Q123" s="26">
        <v>0.0045</v>
      </c>
      <c r="R123" s="18">
        <v>0.264692852667038</v>
      </c>
      <c r="S123" s="18">
        <v>0.078</v>
      </c>
      <c r="T123" s="25">
        <v>0.0165</v>
      </c>
      <c r="U123" s="13">
        <v>41.3023284136432</v>
      </c>
      <c r="V123" s="18">
        <v>0.03073133849289</v>
      </c>
      <c r="W123" s="25">
        <v>0.0085</v>
      </c>
      <c r="X123" s="18">
        <v>1.11509062267785</v>
      </c>
      <c r="Y123" s="18">
        <v>0.122215016873991</v>
      </c>
      <c r="Z123" s="18">
        <v>0.83036821593987</v>
      </c>
    </row>
    <row r="124" s="1" customFormat="1" ht="12.75" spans="1:26">
      <c r="A124" s="7"/>
      <c r="B124" s="7"/>
      <c r="C124" s="7"/>
      <c r="D124" s="7" t="s">
        <v>274</v>
      </c>
      <c r="E124" s="7">
        <v>5</v>
      </c>
      <c r="F124" s="13">
        <v>65.2247128120377</v>
      </c>
      <c r="G124" s="13">
        <v>7920.12478420961</v>
      </c>
      <c r="H124" s="13">
        <v>0.609522731222408</v>
      </c>
      <c r="I124" s="18">
        <v>0.3815</v>
      </c>
      <c r="J124" s="13">
        <v>90.917844944253</v>
      </c>
      <c r="K124" s="13">
        <v>95.602623557159</v>
      </c>
      <c r="L124" s="13">
        <v>29.974804468006</v>
      </c>
      <c r="M124" s="13">
        <v>152.885926890856</v>
      </c>
      <c r="N124" s="13">
        <v>917.979766937989</v>
      </c>
      <c r="O124" s="13">
        <v>98.055150480979</v>
      </c>
      <c r="P124" s="13">
        <v>16.893645272523</v>
      </c>
      <c r="Q124" s="26">
        <v>0.0045</v>
      </c>
      <c r="R124" s="25">
        <v>0.0995</v>
      </c>
      <c r="S124" s="18">
        <v>0.078</v>
      </c>
      <c r="T124" s="25">
        <v>0.013</v>
      </c>
      <c r="U124" s="13">
        <v>36.0782138100565</v>
      </c>
      <c r="V124" s="25">
        <v>0.0045</v>
      </c>
      <c r="W124" s="25">
        <v>0.0065</v>
      </c>
      <c r="X124" s="18">
        <v>1.10796519221175</v>
      </c>
      <c r="Y124" s="18">
        <v>0.066721611410069</v>
      </c>
      <c r="Z124" s="18">
        <v>1.81096946531471</v>
      </c>
    </row>
    <row r="125" s="1" customFormat="1" ht="12.75" spans="1:26">
      <c r="A125" s="7"/>
      <c r="B125" s="7"/>
      <c r="C125" s="7"/>
      <c r="D125" s="7" t="s">
        <v>274</v>
      </c>
      <c r="E125" s="7">
        <v>6</v>
      </c>
      <c r="F125" s="13">
        <v>50.5937981658696</v>
      </c>
      <c r="G125" s="13">
        <v>6489.40887218454</v>
      </c>
      <c r="H125" s="13">
        <v>0.392099602567002</v>
      </c>
      <c r="I125" s="18">
        <v>0.3815</v>
      </c>
      <c r="J125" s="13">
        <v>72.191898840871</v>
      </c>
      <c r="K125" s="13">
        <v>31</v>
      </c>
      <c r="L125" s="13">
        <v>36.480409937685</v>
      </c>
      <c r="M125" s="13">
        <v>121.93249459536</v>
      </c>
      <c r="N125" s="13">
        <v>664.361949279369</v>
      </c>
      <c r="O125" s="13">
        <v>103.969205118658</v>
      </c>
      <c r="P125" s="13">
        <v>6</v>
      </c>
      <c r="Q125" s="26">
        <v>0.0045</v>
      </c>
      <c r="R125" s="18">
        <v>0.763298417760705</v>
      </c>
      <c r="S125" s="18">
        <v>0.078</v>
      </c>
      <c r="T125" s="18">
        <v>0.100008840056102</v>
      </c>
      <c r="U125" s="13">
        <v>38.040315577372</v>
      </c>
      <c r="V125" s="25">
        <v>0.004</v>
      </c>
      <c r="W125" s="25">
        <v>0.006</v>
      </c>
      <c r="X125" s="18">
        <v>0.832243882909758</v>
      </c>
      <c r="Y125" s="18">
        <v>0.091791457100025</v>
      </c>
      <c r="Z125" s="18">
        <v>1.05421723406832</v>
      </c>
    </row>
    <row r="126" s="1" customFormat="1" ht="12.75" spans="1:26">
      <c r="A126" s="7"/>
      <c r="B126" s="7"/>
      <c r="C126" s="7"/>
      <c r="D126" s="7" t="s">
        <v>274</v>
      </c>
      <c r="E126" s="7">
        <v>7</v>
      </c>
      <c r="F126" s="13">
        <v>69.8886108996852</v>
      </c>
      <c r="G126" s="13">
        <v>5537.56741053159</v>
      </c>
      <c r="H126" s="13">
        <v>0.596419687619945</v>
      </c>
      <c r="I126" s="18">
        <v>0.3815</v>
      </c>
      <c r="J126" s="13">
        <v>48.126569143883</v>
      </c>
      <c r="K126" s="13">
        <v>31</v>
      </c>
      <c r="L126" s="13">
        <v>11.695462915965</v>
      </c>
      <c r="M126" s="13">
        <v>186.352692340448</v>
      </c>
      <c r="N126" s="13">
        <v>766.936774272112</v>
      </c>
      <c r="O126" s="13">
        <v>95</v>
      </c>
      <c r="P126" s="13">
        <v>6</v>
      </c>
      <c r="Q126" s="26">
        <v>0.0045</v>
      </c>
      <c r="R126" s="18">
        <v>2.91250327049796</v>
      </c>
      <c r="S126" s="18">
        <v>0.078</v>
      </c>
      <c r="T126" s="25">
        <v>0.0135</v>
      </c>
      <c r="U126" s="13">
        <v>45.4680843382229</v>
      </c>
      <c r="V126" s="18">
        <v>0.130970816303428</v>
      </c>
      <c r="W126" s="18">
        <v>0.02341480948705</v>
      </c>
      <c r="X126" s="18">
        <v>1.09973624951609</v>
      </c>
      <c r="Y126" s="18">
        <v>0.295571661630992</v>
      </c>
      <c r="Z126" s="18">
        <v>5.29123964277631</v>
      </c>
    </row>
    <row r="127" s="1" customFormat="1" ht="12.75" spans="1:26">
      <c r="A127" s="7"/>
      <c r="B127" s="7"/>
      <c r="C127" s="7"/>
      <c r="D127" s="7" t="s">
        <v>274</v>
      </c>
      <c r="E127" s="7">
        <v>8</v>
      </c>
      <c r="F127" s="13">
        <v>64.5669183355889</v>
      </c>
      <c r="G127" s="13">
        <v>6885.56657616578</v>
      </c>
      <c r="H127" s="13">
        <v>0.547529539277524</v>
      </c>
      <c r="I127" s="18">
        <v>0.3815</v>
      </c>
      <c r="J127" s="13">
        <v>103.106969521179</v>
      </c>
      <c r="K127" s="13">
        <v>31</v>
      </c>
      <c r="L127" s="13">
        <v>26.553704546618</v>
      </c>
      <c r="M127" s="13">
        <v>156.59068868382</v>
      </c>
      <c r="N127" s="13">
        <v>1008.9959605891</v>
      </c>
      <c r="O127" s="13">
        <v>181.225491953096</v>
      </c>
      <c r="P127" s="13">
        <v>6</v>
      </c>
      <c r="Q127" s="26">
        <v>0.0045</v>
      </c>
      <c r="R127" s="18">
        <v>0.238997969891824</v>
      </c>
      <c r="S127" s="18">
        <v>0.078</v>
      </c>
      <c r="T127" s="18">
        <v>0.036700769598269</v>
      </c>
      <c r="U127" s="13">
        <v>38.518606645625</v>
      </c>
      <c r="V127" s="25">
        <v>0.0045</v>
      </c>
      <c r="W127" s="18">
        <v>0.021434681841463</v>
      </c>
      <c r="X127" s="18">
        <v>0.223664832408826</v>
      </c>
      <c r="Y127" s="18">
        <v>0.110561884562145</v>
      </c>
      <c r="Z127" s="18">
        <v>0.996747647047012</v>
      </c>
    </row>
    <row r="128" s="1" customFormat="1" ht="12.75" spans="1:26">
      <c r="A128" s="7"/>
      <c r="B128" s="32" t="s">
        <v>277</v>
      </c>
      <c r="C128" s="32" t="s">
        <v>273</v>
      </c>
      <c r="D128" s="32" t="s">
        <v>278</v>
      </c>
      <c r="E128" s="32"/>
      <c r="F128" s="33">
        <f t="shared" ref="F128:H128" si="0">AVERAGE(F120:F127)</f>
        <v>65.385728468573</v>
      </c>
      <c r="G128" s="33">
        <f t="shared" si="0"/>
        <v>7015.76280974966</v>
      </c>
      <c r="H128" s="33">
        <f t="shared" si="0"/>
        <v>0.618531095311665</v>
      </c>
      <c r="I128" s="33">
        <f t="shared" ref="I128:Z128" si="1">AVERAGE(I120:I127)</f>
        <v>0.3815</v>
      </c>
      <c r="J128" s="33">
        <f t="shared" si="1"/>
        <v>83.1118557461897</v>
      </c>
      <c r="K128" s="33">
        <f t="shared" si="1"/>
        <v>53.1165094512899</v>
      </c>
      <c r="L128" s="33">
        <f t="shared" si="1"/>
        <v>31.412875917652</v>
      </c>
      <c r="M128" s="33">
        <f t="shared" si="1"/>
        <v>149.228403849736</v>
      </c>
      <c r="N128" s="33">
        <f t="shared" si="1"/>
        <v>782.65961652378</v>
      </c>
      <c r="O128" s="33">
        <f t="shared" si="1"/>
        <v>73.7236117535058</v>
      </c>
      <c r="P128" s="33">
        <f t="shared" si="1"/>
        <v>7.36170565906538</v>
      </c>
      <c r="Q128" s="33">
        <f t="shared" si="1"/>
        <v>0.0045</v>
      </c>
      <c r="R128" s="33">
        <f t="shared" si="1"/>
        <v>0.610972409574449</v>
      </c>
      <c r="S128" s="33">
        <f t="shared" si="1"/>
        <v>0.078</v>
      </c>
      <c r="T128" s="33">
        <f t="shared" si="1"/>
        <v>0.0400842371712959</v>
      </c>
      <c r="U128" s="33">
        <f t="shared" si="1"/>
        <v>40.6899749589319</v>
      </c>
      <c r="V128" s="33">
        <f t="shared" si="1"/>
        <v>0.0237127693495397</v>
      </c>
      <c r="W128" s="33">
        <f t="shared" si="1"/>
        <v>0.017761965183983</v>
      </c>
      <c r="X128" s="33">
        <f t="shared" si="1"/>
        <v>0.851354248467723</v>
      </c>
      <c r="Y128" s="33">
        <f t="shared" si="1"/>
        <v>0.119151122759051</v>
      </c>
      <c r="Z128" s="33">
        <f t="shared" si="1"/>
        <v>1.48045530769612</v>
      </c>
    </row>
    <row r="129" s="1" customFormat="1" ht="12.75" spans="1:26">
      <c r="A129" s="7"/>
      <c r="B129" s="7" t="s">
        <v>279</v>
      </c>
      <c r="C129" s="7" t="s">
        <v>273</v>
      </c>
      <c r="D129" s="7" t="s">
        <v>274</v>
      </c>
      <c r="E129" s="7">
        <v>1</v>
      </c>
      <c r="F129" s="13">
        <v>88.0999003826131</v>
      </c>
      <c r="G129" s="13">
        <v>5924.90278760063</v>
      </c>
      <c r="H129" s="13">
        <v>2.07251575522616</v>
      </c>
      <c r="I129" s="18">
        <v>0.3815</v>
      </c>
      <c r="J129" s="13">
        <v>97.877954426309</v>
      </c>
      <c r="K129" s="13">
        <v>31</v>
      </c>
      <c r="L129" s="13">
        <v>29.289530670782</v>
      </c>
      <c r="M129" s="13">
        <v>75.917248967773</v>
      </c>
      <c r="N129" s="13">
        <v>423.143040351385</v>
      </c>
      <c r="O129" s="13">
        <v>19.861450812609</v>
      </c>
      <c r="P129" s="13">
        <v>56.8181909529795</v>
      </c>
      <c r="Q129" s="26">
        <v>0.0045</v>
      </c>
      <c r="R129" s="18">
        <v>1.54689517083452</v>
      </c>
      <c r="S129" s="18">
        <v>0.119</v>
      </c>
      <c r="T129" s="25">
        <v>0.141</v>
      </c>
      <c r="U129" s="13">
        <v>64.3808035780644</v>
      </c>
      <c r="V129" s="25">
        <v>0.031</v>
      </c>
      <c r="W129" s="25">
        <v>0.0435</v>
      </c>
      <c r="X129" s="25">
        <v>0.524</v>
      </c>
      <c r="Y129" s="18">
        <v>0.102633184483784</v>
      </c>
      <c r="Z129" s="18">
        <v>1.03241367288643</v>
      </c>
    </row>
    <row r="130" s="1" customFormat="1" ht="12.75" spans="1:26">
      <c r="A130" s="7"/>
      <c r="B130" s="7"/>
      <c r="C130" s="7"/>
      <c r="D130" s="7" t="s">
        <v>274</v>
      </c>
      <c r="E130" s="7">
        <v>2</v>
      </c>
      <c r="F130" s="13">
        <v>50.9707000150988</v>
      </c>
      <c r="G130" s="13">
        <v>5892.49563947997</v>
      </c>
      <c r="H130" s="13">
        <v>1.23141899048994</v>
      </c>
      <c r="I130" s="18">
        <v>0.3815</v>
      </c>
      <c r="J130" s="13">
        <v>99.658922483878</v>
      </c>
      <c r="K130" s="13">
        <v>31</v>
      </c>
      <c r="L130" s="13">
        <v>41.076207747881</v>
      </c>
      <c r="M130" s="13">
        <v>58.5541877165865</v>
      </c>
      <c r="N130" s="13">
        <v>569.498086078075</v>
      </c>
      <c r="O130" s="13">
        <v>80.446917927727</v>
      </c>
      <c r="P130" s="13">
        <v>35.6147380522005</v>
      </c>
      <c r="Q130" s="26">
        <v>0.0045</v>
      </c>
      <c r="R130" s="18">
        <v>2.69096543538693</v>
      </c>
      <c r="S130" s="18">
        <v>0.119</v>
      </c>
      <c r="T130" s="25">
        <v>0.1365</v>
      </c>
      <c r="U130" s="13">
        <v>70.8571165108004</v>
      </c>
      <c r="V130" s="25">
        <v>0.0325</v>
      </c>
      <c r="W130" s="25">
        <v>0.0425</v>
      </c>
      <c r="X130" s="18">
        <v>1.87759850762518</v>
      </c>
      <c r="Y130" s="18">
        <v>0.252035121607582</v>
      </c>
      <c r="Z130" s="18">
        <v>3.3575634190357</v>
      </c>
    </row>
    <row r="131" s="1" customFormat="1" ht="12.75" spans="1:26">
      <c r="A131" s="7"/>
      <c r="B131" s="7"/>
      <c r="C131" s="7"/>
      <c r="D131" s="7" t="s">
        <v>274</v>
      </c>
      <c r="E131" s="7">
        <v>3</v>
      </c>
      <c r="F131" s="13">
        <v>70.1574608795708</v>
      </c>
      <c r="G131" s="13">
        <v>5061.7342523849</v>
      </c>
      <c r="H131" s="13">
        <v>1.739117649285</v>
      </c>
      <c r="I131" s="18">
        <v>0.3815</v>
      </c>
      <c r="J131" s="13">
        <v>105.085033599441</v>
      </c>
      <c r="K131" s="13">
        <v>31</v>
      </c>
      <c r="L131" s="13">
        <v>33.449299629667</v>
      </c>
      <c r="M131" s="13">
        <v>46.1235601684435</v>
      </c>
      <c r="N131" s="13">
        <v>719.159124183562</v>
      </c>
      <c r="O131" s="13">
        <v>71.323534787216</v>
      </c>
      <c r="P131" s="13">
        <v>31.1644755594325</v>
      </c>
      <c r="Q131" s="26">
        <v>0.0045</v>
      </c>
      <c r="R131" s="18">
        <v>0.898594398809111</v>
      </c>
      <c r="S131" s="18">
        <v>0.119</v>
      </c>
      <c r="T131" s="25">
        <v>0.1305</v>
      </c>
      <c r="U131" s="13">
        <v>59.551787921073</v>
      </c>
      <c r="V131" s="18">
        <v>0.054630146083685</v>
      </c>
      <c r="W131" s="25">
        <v>0.0395</v>
      </c>
      <c r="X131" s="25">
        <v>0.5075</v>
      </c>
      <c r="Y131" s="18">
        <v>0.132610553145873</v>
      </c>
      <c r="Z131" s="18">
        <v>1.54474932464304</v>
      </c>
    </row>
    <row r="132" s="1" customFormat="1" ht="12.75" spans="1:26">
      <c r="A132" s="7"/>
      <c r="B132" s="7"/>
      <c r="C132" s="7"/>
      <c r="D132" s="7" t="s">
        <v>274</v>
      </c>
      <c r="E132" s="7">
        <v>4</v>
      </c>
      <c r="F132" s="13">
        <v>64.7389663626326</v>
      </c>
      <c r="G132" s="13">
        <v>6308.77119014646</v>
      </c>
      <c r="H132" s="13">
        <v>0.655972671783954</v>
      </c>
      <c r="I132" s="18">
        <v>0.3815</v>
      </c>
      <c r="J132" s="13">
        <v>143.092182983339</v>
      </c>
      <c r="K132" s="13">
        <v>67.252702875863</v>
      </c>
      <c r="L132" s="13">
        <v>12.46164334002</v>
      </c>
      <c r="M132" s="13">
        <v>115.125703380818</v>
      </c>
      <c r="N132" s="13">
        <v>639.241542369435</v>
      </c>
      <c r="O132" s="13">
        <v>82.559622764901</v>
      </c>
      <c r="P132" s="13">
        <v>6</v>
      </c>
      <c r="Q132" s="24">
        <v>0.026326062274291</v>
      </c>
      <c r="R132" s="18">
        <v>0.736003983618132</v>
      </c>
      <c r="S132" s="18">
        <v>0.119</v>
      </c>
      <c r="T132" s="25">
        <v>0.143</v>
      </c>
      <c r="U132" s="13">
        <v>63.2137299359987</v>
      </c>
      <c r="V132" s="25">
        <v>0.0245</v>
      </c>
      <c r="W132" s="25">
        <v>0.044</v>
      </c>
      <c r="X132" s="25">
        <v>0.555</v>
      </c>
      <c r="Y132" s="18">
        <v>0.135054186091694</v>
      </c>
      <c r="Z132" s="18">
        <v>1.44112534318441</v>
      </c>
    </row>
    <row r="133" s="1" customFormat="1" ht="12.75" spans="1:26">
      <c r="A133" s="7"/>
      <c r="B133" s="7"/>
      <c r="C133" s="7"/>
      <c r="D133" s="7" t="s">
        <v>274</v>
      </c>
      <c r="E133" s="7">
        <v>5</v>
      </c>
      <c r="F133" s="13">
        <v>78.7338835170015</v>
      </c>
      <c r="G133" s="13">
        <v>6495.69398874256</v>
      </c>
      <c r="H133" s="13">
        <v>1.4393464219177</v>
      </c>
      <c r="I133" s="18">
        <v>0.3815</v>
      </c>
      <c r="J133" s="13">
        <v>137</v>
      </c>
      <c r="K133" s="13">
        <v>31</v>
      </c>
      <c r="L133" s="13">
        <v>33</v>
      </c>
      <c r="M133" s="13">
        <v>116</v>
      </c>
      <c r="N133" s="13">
        <v>589</v>
      </c>
      <c r="O133" s="13">
        <v>58</v>
      </c>
      <c r="P133" s="13">
        <v>52</v>
      </c>
      <c r="Q133" s="26">
        <v>0.0045</v>
      </c>
      <c r="R133" s="18">
        <v>2.32263164909547</v>
      </c>
      <c r="S133" s="18">
        <v>0.119</v>
      </c>
      <c r="T133" s="25">
        <v>0.1135</v>
      </c>
      <c r="U133" s="13">
        <v>60.2337518750589</v>
      </c>
      <c r="V133" s="25">
        <v>0.0205</v>
      </c>
      <c r="W133" s="18">
        <v>0.078638134599034</v>
      </c>
      <c r="X133" s="18">
        <v>1.22105921803149</v>
      </c>
      <c r="Y133" s="18">
        <v>0.128714696857594</v>
      </c>
      <c r="Z133" s="18">
        <v>1.45271217548307</v>
      </c>
    </row>
    <row r="134" s="1" customFormat="1" ht="12.75" spans="1:26">
      <c r="A134" s="7"/>
      <c r="B134" s="7"/>
      <c r="C134" s="7"/>
      <c r="D134" s="7" t="s">
        <v>274</v>
      </c>
      <c r="E134" s="7">
        <v>6</v>
      </c>
      <c r="F134" s="13">
        <v>71.5275993255352</v>
      </c>
      <c r="G134" s="13">
        <v>5018.86900107582</v>
      </c>
      <c r="H134" s="13">
        <v>3.41594659616771</v>
      </c>
      <c r="I134" s="18">
        <v>0.3815</v>
      </c>
      <c r="J134" s="13">
        <v>156.491699746293</v>
      </c>
      <c r="K134" s="13">
        <v>31</v>
      </c>
      <c r="L134" s="13">
        <v>174.016086526286</v>
      </c>
      <c r="M134" s="13">
        <v>2173.22855902976</v>
      </c>
      <c r="N134" s="13">
        <v>1106.39291136265</v>
      </c>
      <c r="O134" s="19">
        <v>906.695537747091</v>
      </c>
      <c r="P134" s="13">
        <v>27.9140970787075</v>
      </c>
      <c r="Q134" s="26">
        <v>0.0045</v>
      </c>
      <c r="R134" s="18">
        <v>1.85824831606464</v>
      </c>
      <c r="S134" s="18">
        <v>0.119</v>
      </c>
      <c r="T134" s="25">
        <v>0.078</v>
      </c>
      <c r="U134" s="13">
        <v>54.1773429103589</v>
      </c>
      <c r="V134" s="18">
        <v>0.137013466646452</v>
      </c>
      <c r="W134" s="25">
        <v>0.024</v>
      </c>
      <c r="X134" s="18">
        <v>1.45458294818891</v>
      </c>
      <c r="Y134" s="18">
        <v>0.706079080232114</v>
      </c>
      <c r="Z134" s="18">
        <v>3.03758808343192</v>
      </c>
    </row>
    <row r="135" s="1" customFormat="1" ht="12.75" spans="1:26">
      <c r="A135" s="7"/>
      <c r="B135" s="7"/>
      <c r="C135" s="7"/>
      <c r="D135" s="7" t="s">
        <v>274</v>
      </c>
      <c r="E135" s="7">
        <v>7</v>
      </c>
      <c r="F135" s="13">
        <v>61.480137892069</v>
      </c>
      <c r="G135" s="13">
        <v>5884.1398182564</v>
      </c>
      <c r="H135" s="13">
        <v>1.05014413327578</v>
      </c>
      <c r="I135" s="18">
        <v>0.3815</v>
      </c>
      <c r="J135" s="13">
        <v>147.471899514214</v>
      </c>
      <c r="K135" s="13">
        <v>31</v>
      </c>
      <c r="L135" s="13">
        <v>38.281872811562</v>
      </c>
      <c r="M135" s="13">
        <v>132.23472452177</v>
      </c>
      <c r="N135" s="13">
        <v>613.049683133177</v>
      </c>
      <c r="O135" s="13">
        <v>60.845762058429</v>
      </c>
      <c r="P135" s="13">
        <v>6</v>
      </c>
      <c r="Q135" s="26">
        <v>0.0045</v>
      </c>
      <c r="R135" s="25">
        <v>0.14</v>
      </c>
      <c r="S135" s="18">
        <v>0.119</v>
      </c>
      <c r="T135" s="25">
        <v>0.113</v>
      </c>
      <c r="U135" s="13">
        <v>65.1052988441253</v>
      </c>
      <c r="V135" s="25">
        <v>0.0235</v>
      </c>
      <c r="W135" s="18">
        <v>0.07361050343723</v>
      </c>
      <c r="X135" s="25">
        <v>0.426</v>
      </c>
      <c r="Y135" s="18">
        <v>0.251948057615397</v>
      </c>
      <c r="Z135" s="18">
        <v>0.868393809640672</v>
      </c>
    </row>
    <row r="136" s="1" customFormat="1" ht="12.75" spans="1:26">
      <c r="A136" s="7"/>
      <c r="B136" s="32" t="s">
        <v>279</v>
      </c>
      <c r="C136" s="32" t="s">
        <v>273</v>
      </c>
      <c r="D136" s="32" t="s">
        <v>278</v>
      </c>
      <c r="E136" s="32"/>
      <c r="F136" s="33">
        <f>AVERAGE(F129:F135)</f>
        <v>69.3869497677887</v>
      </c>
      <c r="G136" s="33">
        <f t="shared" ref="G136:Z136" si="2">AVERAGE(G129:G135)</f>
        <v>5798.08666824096</v>
      </c>
      <c r="H136" s="33">
        <f t="shared" si="2"/>
        <v>1.65778031687803</v>
      </c>
      <c r="I136" s="33">
        <f t="shared" si="2"/>
        <v>0.3815</v>
      </c>
      <c r="J136" s="33">
        <f t="shared" si="2"/>
        <v>126.668241821925</v>
      </c>
      <c r="K136" s="33">
        <f t="shared" si="2"/>
        <v>36.1789575536947</v>
      </c>
      <c r="L136" s="33">
        <f t="shared" si="2"/>
        <v>51.6535201037426</v>
      </c>
      <c r="M136" s="33">
        <f t="shared" si="2"/>
        <v>388.169140540736</v>
      </c>
      <c r="N136" s="33">
        <f t="shared" si="2"/>
        <v>665.640626782612</v>
      </c>
      <c r="O136" s="33">
        <f>AVERAGE(O129:O133,O135)</f>
        <v>62.1728813918137</v>
      </c>
      <c r="P136" s="33">
        <f t="shared" si="2"/>
        <v>30.7873573776171</v>
      </c>
      <c r="Q136" s="33">
        <v>0.005</v>
      </c>
      <c r="R136" s="33">
        <f t="shared" si="2"/>
        <v>1.45619127911554</v>
      </c>
      <c r="S136" s="33">
        <f t="shared" si="2"/>
        <v>0.119</v>
      </c>
      <c r="T136" s="33">
        <f t="shared" si="2"/>
        <v>0.122214285714286</v>
      </c>
      <c r="U136" s="33">
        <f t="shared" si="2"/>
        <v>62.5028330822114</v>
      </c>
      <c r="V136" s="33">
        <f t="shared" si="2"/>
        <v>0.046234801818591</v>
      </c>
      <c r="W136" s="33">
        <f t="shared" si="2"/>
        <v>0.0493926625766091</v>
      </c>
      <c r="X136" s="33">
        <f t="shared" si="2"/>
        <v>0.937962953406511</v>
      </c>
      <c r="Y136" s="33">
        <f t="shared" si="2"/>
        <v>0.244153554290577</v>
      </c>
      <c r="Z136" s="33">
        <f t="shared" si="2"/>
        <v>1.81922083261503</v>
      </c>
    </row>
    <row r="137" s="1" customFormat="1" ht="12.75" spans="1:26">
      <c r="A137" s="7"/>
      <c r="B137" s="7" t="s">
        <v>280</v>
      </c>
      <c r="C137" s="7" t="s">
        <v>273</v>
      </c>
      <c r="D137" s="7" t="s">
        <v>274</v>
      </c>
      <c r="E137" s="7">
        <v>1</v>
      </c>
      <c r="F137" s="13">
        <v>33.3142854424755</v>
      </c>
      <c r="G137" s="13">
        <v>5360.56633084508</v>
      </c>
      <c r="H137" s="13">
        <v>2.60243788561161</v>
      </c>
      <c r="I137" s="18">
        <v>0.777685625360169</v>
      </c>
      <c r="J137" s="13">
        <v>187.725008966956</v>
      </c>
      <c r="K137" s="13">
        <v>117.350640462443</v>
      </c>
      <c r="L137" s="13">
        <v>163.656333923132</v>
      </c>
      <c r="M137" s="13">
        <v>728.524966266196</v>
      </c>
      <c r="N137" s="13">
        <v>2100.66536411795</v>
      </c>
      <c r="O137" s="13">
        <v>7.5</v>
      </c>
      <c r="P137" s="13">
        <v>6</v>
      </c>
      <c r="Q137" s="26">
        <v>0.0045</v>
      </c>
      <c r="R137" s="18">
        <v>0.34025988919331</v>
      </c>
      <c r="S137" s="18">
        <v>0.078</v>
      </c>
      <c r="T137" s="18">
        <v>0.040292099379408</v>
      </c>
      <c r="U137" s="13">
        <v>44.805203989465</v>
      </c>
      <c r="V137" s="25">
        <v>0.0065</v>
      </c>
      <c r="W137" s="25">
        <v>0.0095</v>
      </c>
      <c r="X137" s="18">
        <v>1.26792175905554</v>
      </c>
      <c r="Y137" s="18">
        <v>0.009454331591755</v>
      </c>
      <c r="Z137" s="18">
        <v>0.459702097737958</v>
      </c>
    </row>
    <row r="138" s="1" customFormat="1" ht="12.75" spans="1:26">
      <c r="A138" s="7"/>
      <c r="B138" s="7"/>
      <c r="C138" s="7"/>
      <c r="D138" s="7" t="s">
        <v>274</v>
      </c>
      <c r="E138" s="7">
        <v>2</v>
      </c>
      <c r="F138" s="13">
        <v>32.8586927875361</v>
      </c>
      <c r="G138" s="13">
        <v>5552.55867551026</v>
      </c>
      <c r="H138" s="13">
        <v>2.17476653148524</v>
      </c>
      <c r="I138" s="18">
        <v>0.3815</v>
      </c>
      <c r="J138" s="13">
        <v>206.83156350262</v>
      </c>
      <c r="K138" s="13">
        <v>137.576905276566</v>
      </c>
      <c r="L138" s="13">
        <v>148.572755297211</v>
      </c>
      <c r="M138" s="13">
        <v>770.543288890195</v>
      </c>
      <c r="N138" s="13">
        <v>1890.99838308187</v>
      </c>
      <c r="O138" s="13">
        <v>31.91540373548</v>
      </c>
      <c r="P138" s="13">
        <v>6</v>
      </c>
      <c r="Q138" s="26">
        <v>0.0045</v>
      </c>
      <c r="R138" s="25">
        <v>0.1355</v>
      </c>
      <c r="S138" s="18">
        <v>0.078</v>
      </c>
      <c r="T138" s="18">
        <v>0.100168743923175</v>
      </c>
      <c r="U138" s="13">
        <v>49.3188713958267</v>
      </c>
      <c r="V138" s="18">
        <v>0.017862290126678</v>
      </c>
      <c r="W138" s="18">
        <v>0.020876513271383</v>
      </c>
      <c r="X138" s="18">
        <v>0.974546954437301</v>
      </c>
      <c r="Y138" s="18">
        <v>0.211739636518437</v>
      </c>
      <c r="Z138" s="18">
        <v>0.817881857273224</v>
      </c>
    </row>
    <row r="139" s="1" customFormat="1" ht="12.75" spans="1:26">
      <c r="A139" s="7"/>
      <c r="B139" s="7"/>
      <c r="C139" s="7"/>
      <c r="D139" s="7" t="s">
        <v>274</v>
      </c>
      <c r="E139" s="7">
        <v>3</v>
      </c>
      <c r="F139" s="13">
        <v>34.984026621028</v>
      </c>
      <c r="G139" s="13">
        <v>5025.9897044044</v>
      </c>
      <c r="H139" s="13">
        <v>1.63541022652621</v>
      </c>
      <c r="I139" s="18">
        <v>0.3815</v>
      </c>
      <c r="J139" s="13">
        <v>207.17480477861</v>
      </c>
      <c r="K139" s="13">
        <v>112.059518576693</v>
      </c>
      <c r="L139" s="13">
        <v>156.507401087226</v>
      </c>
      <c r="M139" s="13">
        <v>667.269170638153</v>
      </c>
      <c r="N139" s="13">
        <v>2030.39098607775</v>
      </c>
      <c r="O139" s="13">
        <v>84.754121602179</v>
      </c>
      <c r="P139" s="13">
        <v>6</v>
      </c>
      <c r="Q139" s="26">
        <v>0.0045</v>
      </c>
      <c r="R139" s="25">
        <v>0.129</v>
      </c>
      <c r="S139" s="18">
        <v>0.078</v>
      </c>
      <c r="T139" s="18">
        <v>0.157173690339671</v>
      </c>
      <c r="U139" s="13">
        <v>49.4294045023077</v>
      </c>
      <c r="V139" s="18">
        <v>0.016727376684479</v>
      </c>
      <c r="W139" s="25">
        <v>0.009</v>
      </c>
      <c r="X139" s="18">
        <v>0.71163183742387</v>
      </c>
      <c r="Y139" s="18">
        <v>0.026557456630797</v>
      </c>
      <c r="Z139" s="18">
        <v>0.531364028792271</v>
      </c>
    </row>
    <row r="140" s="1" customFormat="1" ht="12.75" spans="1:26">
      <c r="A140" s="7"/>
      <c r="B140" s="7"/>
      <c r="C140" s="7"/>
      <c r="D140" s="7" t="s">
        <v>274</v>
      </c>
      <c r="E140" s="7">
        <v>4</v>
      </c>
      <c r="F140" s="13">
        <v>33.8009500766609</v>
      </c>
      <c r="G140" s="13">
        <v>5268.30581890366</v>
      </c>
      <c r="H140" s="13">
        <v>1.17002549840765</v>
      </c>
      <c r="I140" s="18">
        <v>0.3815</v>
      </c>
      <c r="J140" s="13">
        <v>239.414768165113</v>
      </c>
      <c r="K140" s="13">
        <v>173.887091795236</v>
      </c>
      <c r="L140" s="13">
        <v>171.343667871078</v>
      </c>
      <c r="M140" s="13">
        <v>631.35894554134</v>
      </c>
      <c r="N140" s="13">
        <v>2199.69643350998</v>
      </c>
      <c r="O140" s="13">
        <v>7.5</v>
      </c>
      <c r="P140" s="13">
        <v>6</v>
      </c>
      <c r="Q140" s="26">
        <v>0.0045</v>
      </c>
      <c r="R140" s="25">
        <v>0.1145</v>
      </c>
      <c r="S140" s="18">
        <v>0.078</v>
      </c>
      <c r="T140" s="25">
        <v>0.0155</v>
      </c>
      <c r="U140" s="13">
        <v>48.5971411654279</v>
      </c>
      <c r="V140" s="25">
        <v>0.0055</v>
      </c>
      <c r="W140" s="25">
        <v>0.008</v>
      </c>
      <c r="X140" s="18">
        <v>0.465718328868402</v>
      </c>
      <c r="Y140" s="18">
        <v>0.013561991561104</v>
      </c>
      <c r="Z140" s="18">
        <v>0.258656534034925</v>
      </c>
    </row>
    <row r="141" s="1" customFormat="1" ht="12.75" spans="1:26">
      <c r="A141" s="7"/>
      <c r="B141" s="32" t="s">
        <v>280</v>
      </c>
      <c r="C141" s="32" t="s">
        <v>273</v>
      </c>
      <c r="D141" s="32" t="s">
        <v>278</v>
      </c>
      <c r="E141" s="32"/>
      <c r="F141" s="40">
        <f>AVERAGE(F137:F140)</f>
        <v>33.7394887319251</v>
      </c>
      <c r="G141" s="40">
        <f t="shared" ref="G141:Z141" si="3">AVERAGE(G137:G140)</f>
        <v>5301.85513241585</v>
      </c>
      <c r="H141" s="40">
        <f t="shared" si="3"/>
        <v>1.89566003550768</v>
      </c>
      <c r="I141" s="40">
        <f t="shared" si="3"/>
        <v>0.480546406340042</v>
      </c>
      <c r="J141" s="40">
        <f t="shared" si="3"/>
        <v>210.286536353325</v>
      </c>
      <c r="K141" s="40">
        <f t="shared" si="3"/>
        <v>135.218539027734</v>
      </c>
      <c r="L141" s="40">
        <f t="shared" si="3"/>
        <v>160.020039544662</v>
      </c>
      <c r="M141" s="40">
        <f t="shared" si="3"/>
        <v>699.424092833971</v>
      </c>
      <c r="N141" s="40">
        <f t="shared" si="3"/>
        <v>2055.43779169689</v>
      </c>
      <c r="O141" s="40">
        <f t="shared" si="3"/>
        <v>32.9173813344147</v>
      </c>
      <c r="P141" s="40">
        <f t="shared" si="3"/>
        <v>6</v>
      </c>
      <c r="Q141" s="40">
        <f t="shared" si="3"/>
        <v>0.0045</v>
      </c>
      <c r="R141" s="40">
        <f t="shared" si="3"/>
        <v>0.179814972298328</v>
      </c>
      <c r="S141" s="40">
        <f t="shared" si="3"/>
        <v>0.078</v>
      </c>
      <c r="T141" s="40">
        <f t="shared" si="3"/>
        <v>0.0782836334105635</v>
      </c>
      <c r="U141" s="40">
        <f t="shared" si="3"/>
        <v>48.0376552632568</v>
      </c>
      <c r="V141" s="40">
        <f t="shared" si="3"/>
        <v>0.0116474167027892</v>
      </c>
      <c r="W141" s="40">
        <f t="shared" si="3"/>
        <v>0.0118441283178458</v>
      </c>
      <c r="X141" s="40">
        <f t="shared" si="3"/>
        <v>0.854954719946278</v>
      </c>
      <c r="Y141" s="40">
        <f t="shared" si="3"/>
        <v>0.0653283540755232</v>
      </c>
      <c r="Z141" s="40">
        <f t="shared" si="3"/>
        <v>0.516901129459595</v>
      </c>
    </row>
    <row r="142" s="1" customFormat="1" ht="12.75" spans="1:26">
      <c r="A142" s="7"/>
      <c r="B142" s="7" t="s">
        <v>281</v>
      </c>
      <c r="C142" s="7" t="s">
        <v>273</v>
      </c>
      <c r="D142" s="7" t="s">
        <v>274</v>
      </c>
      <c r="E142" s="7">
        <v>1</v>
      </c>
      <c r="F142" s="13">
        <v>38.8276690695223</v>
      </c>
      <c r="G142" s="13">
        <v>6397.09456581497</v>
      </c>
      <c r="H142" s="13">
        <v>0.934426042278964</v>
      </c>
      <c r="I142" s="18">
        <v>0.3815</v>
      </c>
      <c r="J142" s="13">
        <v>191.513238984397</v>
      </c>
      <c r="K142" s="13">
        <v>104.978867103533</v>
      </c>
      <c r="L142" s="13">
        <v>96.762213414114</v>
      </c>
      <c r="M142" s="13">
        <v>337.937898396513</v>
      </c>
      <c r="N142" s="13">
        <v>2183.1683740293</v>
      </c>
      <c r="O142" s="13">
        <v>7.5</v>
      </c>
      <c r="P142" s="13">
        <v>6</v>
      </c>
      <c r="Q142" s="26">
        <v>0.0045</v>
      </c>
      <c r="R142" s="25">
        <v>0.122</v>
      </c>
      <c r="S142" s="18">
        <v>0.078</v>
      </c>
      <c r="T142" s="18">
        <v>0.090744750075969</v>
      </c>
      <c r="U142" s="13">
        <v>41.8540335829558</v>
      </c>
      <c r="V142" s="18">
        <v>0.014329023728327</v>
      </c>
      <c r="W142" s="18">
        <v>0.036081939549811</v>
      </c>
      <c r="X142" s="18">
        <v>0.368647749073388</v>
      </c>
      <c r="Y142" s="18">
        <v>0.052562902581307</v>
      </c>
      <c r="Z142" s="18">
        <v>0.380993374379084</v>
      </c>
    </row>
    <row r="143" s="1" customFormat="1" ht="12.75" spans="1:26">
      <c r="A143" s="7"/>
      <c r="B143" s="7"/>
      <c r="C143" s="7"/>
      <c r="D143" s="7" t="s">
        <v>274</v>
      </c>
      <c r="E143" s="7">
        <v>2</v>
      </c>
      <c r="F143" s="13">
        <v>96.4020522416489</v>
      </c>
      <c r="G143" s="13">
        <v>8017.73093836534</v>
      </c>
      <c r="H143" s="13">
        <v>0.489715071600744</v>
      </c>
      <c r="I143" s="18">
        <v>0.803538897254122</v>
      </c>
      <c r="J143" s="13">
        <v>140.324569012965</v>
      </c>
      <c r="K143" s="13">
        <v>70.101774309382</v>
      </c>
      <c r="L143" s="13">
        <v>78.432398852547</v>
      </c>
      <c r="M143" s="13">
        <v>331.953413826621</v>
      </c>
      <c r="N143" s="13">
        <v>2033.80289173552</v>
      </c>
      <c r="O143" s="19">
        <v>45.272885828221</v>
      </c>
      <c r="P143" s="19">
        <v>121.404846101904</v>
      </c>
      <c r="Q143" s="26">
        <v>0.0045</v>
      </c>
      <c r="R143" s="25">
        <v>0.13</v>
      </c>
      <c r="S143" s="18">
        <v>0.151725699887937</v>
      </c>
      <c r="T143" s="18">
        <v>0.076322106882015</v>
      </c>
      <c r="U143" s="13">
        <v>34.6072157661858</v>
      </c>
      <c r="V143" s="25">
        <v>0.006</v>
      </c>
      <c r="W143" s="25">
        <v>0.009</v>
      </c>
      <c r="X143" s="18">
        <v>0.308270671449925</v>
      </c>
      <c r="Y143" s="18">
        <v>0.027986067199449</v>
      </c>
      <c r="Z143" s="18">
        <v>0.196056532457121</v>
      </c>
    </row>
    <row r="144" s="1" customFormat="1" ht="12.75" spans="1:26">
      <c r="A144" s="7"/>
      <c r="B144" s="7"/>
      <c r="C144" s="7"/>
      <c r="D144" s="7" t="s">
        <v>274</v>
      </c>
      <c r="E144" s="7">
        <v>3</v>
      </c>
      <c r="F144" s="13">
        <v>39.8753005970589</v>
      </c>
      <c r="G144" s="13">
        <v>6089.26539866153</v>
      </c>
      <c r="H144" s="13">
        <v>1.01636888126451</v>
      </c>
      <c r="I144" s="18">
        <v>0.3815</v>
      </c>
      <c r="J144" s="13">
        <v>165.471868102738</v>
      </c>
      <c r="K144" s="13">
        <v>31</v>
      </c>
      <c r="L144" s="13">
        <v>117.536266829677</v>
      </c>
      <c r="M144" s="13">
        <v>340.82625311742</v>
      </c>
      <c r="N144" s="13">
        <v>1888.78274475196</v>
      </c>
      <c r="O144" s="19">
        <v>102.55104297648</v>
      </c>
      <c r="P144" s="13">
        <v>6</v>
      </c>
      <c r="Q144" s="26">
        <v>0.0045</v>
      </c>
      <c r="R144" s="25">
        <v>0.1335</v>
      </c>
      <c r="S144" s="18">
        <v>0.078</v>
      </c>
      <c r="T144" s="25">
        <v>0.0185</v>
      </c>
      <c r="U144" s="13">
        <v>42.2302945526302</v>
      </c>
      <c r="V144" s="18">
        <v>0.016976388342684</v>
      </c>
      <c r="W144" s="18">
        <v>0.019801493903362</v>
      </c>
      <c r="X144" s="25">
        <v>0.0865</v>
      </c>
      <c r="Y144" s="18">
        <v>0.076069847211583</v>
      </c>
      <c r="Z144" s="18">
        <v>0.286848466083104</v>
      </c>
    </row>
    <row r="145" s="1" customFormat="1" ht="12.75" spans="1:26">
      <c r="A145" s="7"/>
      <c r="B145" s="7"/>
      <c r="C145" s="7"/>
      <c r="D145" s="7" t="s">
        <v>274</v>
      </c>
      <c r="E145" s="7">
        <v>4</v>
      </c>
      <c r="F145" s="13">
        <v>46.5200078369961</v>
      </c>
      <c r="G145" s="13">
        <v>6745.29396336278</v>
      </c>
      <c r="H145" s="13">
        <v>1.00886027915657</v>
      </c>
      <c r="I145" s="18">
        <v>0.3815</v>
      </c>
      <c r="J145" s="13">
        <v>117.76997885239</v>
      </c>
      <c r="K145" s="13">
        <v>121.906817518017</v>
      </c>
      <c r="L145" s="13">
        <v>82.710611308114</v>
      </c>
      <c r="M145" s="13">
        <v>349.880238696496</v>
      </c>
      <c r="N145" s="13">
        <v>1780.9908034349</v>
      </c>
      <c r="O145" s="13">
        <v>7.5</v>
      </c>
      <c r="P145" s="13">
        <v>6</v>
      </c>
      <c r="Q145" s="26">
        <v>0.0045</v>
      </c>
      <c r="R145" s="25">
        <v>0.134</v>
      </c>
      <c r="S145" s="18">
        <v>0.078</v>
      </c>
      <c r="T145" s="25">
        <v>0.0185</v>
      </c>
      <c r="U145" s="13">
        <v>42.0015805901901</v>
      </c>
      <c r="V145" s="18">
        <v>0.030780233482442</v>
      </c>
      <c r="W145" s="25">
        <v>0.009</v>
      </c>
      <c r="X145" s="18">
        <v>0.869</v>
      </c>
      <c r="Y145" s="18">
        <v>0.044983442404763</v>
      </c>
      <c r="Z145" s="18">
        <v>0.31074901517195</v>
      </c>
    </row>
    <row r="146" s="1" customFormat="1" ht="12.75" spans="1:26">
      <c r="A146" s="7"/>
      <c r="B146" s="7"/>
      <c r="C146" s="7"/>
      <c r="D146" s="7" t="s">
        <v>274</v>
      </c>
      <c r="E146" s="7">
        <v>5</v>
      </c>
      <c r="F146" s="13">
        <v>40.4700485013773</v>
      </c>
      <c r="G146" s="13">
        <v>6023.18449395093</v>
      </c>
      <c r="H146" s="13">
        <v>0.791315414286145</v>
      </c>
      <c r="I146" s="18">
        <v>0.3815</v>
      </c>
      <c r="J146" s="13">
        <v>151.149245492508</v>
      </c>
      <c r="K146" s="13">
        <v>93.592294380872</v>
      </c>
      <c r="L146" s="13">
        <v>95.883647016263</v>
      </c>
      <c r="M146" s="13">
        <v>295.345442459822</v>
      </c>
      <c r="N146" s="13">
        <v>1682.9343556287</v>
      </c>
      <c r="O146" s="19">
        <v>97.454647691245</v>
      </c>
      <c r="P146" s="13">
        <v>6</v>
      </c>
      <c r="Q146" s="26">
        <v>0.0045</v>
      </c>
      <c r="R146" s="25">
        <v>0.1645</v>
      </c>
      <c r="S146" s="18">
        <v>0.078</v>
      </c>
      <c r="T146" s="18">
        <v>0.097679169024369</v>
      </c>
      <c r="U146" s="13">
        <v>44.2561913001324</v>
      </c>
      <c r="V146" s="18">
        <v>0.016585386163883</v>
      </c>
      <c r="W146" s="18">
        <v>0.032958820745034</v>
      </c>
      <c r="X146" s="18">
        <v>1.422</v>
      </c>
      <c r="Y146" s="18">
        <v>0.077330808063076</v>
      </c>
      <c r="Z146" s="18">
        <v>0.45027478024565</v>
      </c>
    </row>
    <row r="147" s="1" customFormat="1" ht="12.75" spans="1:26">
      <c r="A147" s="7"/>
      <c r="B147" s="7"/>
      <c r="C147" s="7"/>
      <c r="D147" s="7" t="s">
        <v>274</v>
      </c>
      <c r="E147" s="7">
        <v>6</v>
      </c>
      <c r="F147" s="13">
        <v>42.8641451026579</v>
      </c>
      <c r="G147" s="13">
        <v>6008.37501484886</v>
      </c>
      <c r="H147" s="13">
        <v>0.931783935014108</v>
      </c>
      <c r="I147" s="18">
        <v>0.3815</v>
      </c>
      <c r="J147" s="13">
        <v>171.977301077084</v>
      </c>
      <c r="K147" s="13">
        <v>96.04948534259</v>
      </c>
      <c r="L147" s="13">
        <v>127.368997767212</v>
      </c>
      <c r="M147" s="13">
        <v>379.535166188063</v>
      </c>
      <c r="N147" s="13">
        <v>1826.78493957764</v>
      </c>
      <c r="O147" s="13">
        <v>7.5</v>
      </c>
      <c r="P147" s="13">
        <v>6</v>
      </c>
      <c r="Q147" s="26">
        <v>0.0045</v>
      </c>
      <c r="R147" s="18">
        <v>0.345243543468715</v>
      </c>
      <c r="S147" s="18">
        <v>0.078</v>
      </c>
      <c r="T147" s="18">
        <v>0.104055210801155</v>
      </c>
      <c r="U147" s="13">
        <v>46.8427321324365</v>
      </c>
      <c r="V147" s="18">
        <v>0.026076821217154</v>
      </c>
      <c r="W147" s="18">
        <v>0.056876603979204</v>
      </c>
      <c r="X147" s="18">
        <v>0.383492039142332</v>
      </c>
      <c r="Y147" s="18">
        <v>0.015084470823316</v>
      </c>
      <c r="Z147" s="18">
        <v>0.695846127229682</v>
      </c>
    </row>
    <row r="148" s="1" customFormat="1" ht="12.75" spans="1:26">
      <c r="A148" s="7"/>
      <c r="B148" s="7"/>
      <c r="C148" s="7"/>
      <c r="D148" s="7" t="s">
        <v>274</v>
      </c>
      <c r="E148" s="7">
        <v>7</v>
      </c>
      <c r="F148" s="13">
        <v>52.7018242562505</v>
      </c>
      <c r="G148" s="13">
        <v>6729.42663822062</v>
      </c>
      <c r="H148" s="13">
        <v>1.40488461418675</v>
      </c>
      <c r="I148" s="18">
        <v>0.3815</v>
      </c>
      <c r="J148" s="13">
        <v>158.541729728408</v>
      </c>
      <c r="K148" s="13">
        <v>72.962221124476</v>
      </c>
      <c r="L148" s="13">
        <v>118.430825156433</v>
      </c>
      <c r="M148" s="13">
        <v>315.352484710993</v>
      </c>
      <c r="N148" s="13">
        <v>1736.56424412267</v>
      </c>
      <c r="O148" s="13">
        <v>7.5</v>
      </c>
      <c r="P148" s="13">
        <v>6</v>
      </c>
      <c r="Q148" s="26">
        <v>0.0045</v>
      </c>
      <c r="R148" s="25">
        <v>0.1495</v>
      </c>
      <c r="S148" s="18">
        <v>0.078</v>
      </c>
      <c r="T148" s="25">
        <v>0.0205</v>
      </c>
      <c r="U148" s="13">
        <v>43.5399113864158</v>
      </c>
      <c r="V148" s="25">
        <v>0.007</v>
      </c>
      <c r="W148" s="25">
        <v>0.0105</v>
      </c>
      <c r="X148" s="25">
        <v>0.0995</v>
      </c>
      <c r="Y148" s="18">
        <v>0.085598774166675</v>
      </c>
      <c r="Z148" s="18">
        <v>0.603155747275032</v>
      </c>
    </row>
    <row r="149" s="1" customFormat="1" ht="12.75" spans="1:26">
      <c r="A149" s="7"/>
      <c r="B149" s="32" t="s">
        <v>281</v>
      </c>
      <c r="C149" s="32" t="s">
        <v>273</v>
      </c>
      <c r="D149" s="32" t="s">
        <v>278</v>
      </c>
      <c r="E149" s="32"/>
      <c r="F149" s="40">
        <f>AVERAGE(F142:F148)</f>
        <v>51.094435372216</v>
      </c>
      <c r="G149" s="40">
        <f t="shared" ref="G149:Z149" si="4">AVERAGE(G142:G148)</f>
        <v>6572.91014474643</v>
      </c>
      <c r="H149" s="40">
        <f t="shared" si="4"/>
        <v>0.939622033969684</v>
      </c>
      <c r="I149" s="40">
        <f t="shared" si="4"/>
        <v>0.441791271036303</v>
      </c>
      <c r="J149" s="40">
        <f t="shared" si="4"/>
        <v>156.678275892927</v>
      </c>
      <c r="K149" s="40">
        <f t="shared" si="4"/>
        <v>84.3702085398386</v>
      </c>
      <c r="L149" s="40">
        <f t="shared" si="4"/>
        <v>102.446422906337</v>
      </c>
      <c r="M149" s="40">
        <f t="shared" si="4"/>
        <v>335.832985342275</v>
      </c>
      <c r="N149" s="40">
        <f t="shared" si="4"/>
        <v>1876.14690761153</v>
      </c>
      <c r="O149" s="40">
        <f>AVERAGE(O142,O145,O147:O148)</f>
        <v>7.5</v>
      </c>
      <c r="P149" s="40">
        <v>6</v>
      </c>
      <c r="Q149" s="40">
        <f t="shared" si="4"/>
        <v>0.0045</v>
      </c>
      <c r="R149" s="40">
        <f t="shared" si="4"/>
        <v>0.168391934781245</v>
      </c>
      <c r="S149" s="40">
        <f t="shared" si="4"/>
        <v>0.0885322428411339</v>
      </c>
      <c r="T149" s="40">
        <f t="shared" si="4"/>
        <v>0.0609001766833583</v>
      </c>
      <c r="U149" s="40">
        <f t="shared" si="4"/>
        <v>42.1902799015638</v>
      </c>
      <c r="V149" s="40">
        <f t="shared" si="4"/>
        <v>0.0168211218477843</v>
      </c>
      <c r="W149" s="40">
        <f t="shared" si="4"/>
        <v>0.0248884083110587</v>
      </c>
      <c r="X149" s="40">
        <f t="shared" si="4"/>
        <v>0.505344351380806</v>
      </c>
      <c r="Y149" s="40">
        <f t="shared" si="4"/>
        <v>0.0542309017785956</v>
      </c>
      <c r="Z149" s="40">
        <f t="shared" si="4"/>
        <v>0.41770343469166</v>
      </c>
    </row>
    <row r="150" s="1" customFormat="1" ht="12.75" spans="1:26">
      <c r="A150" s="7"/>
      <c r="B150" s="7" t="s">
        <v>282</v>
      </c>
      <c r="C150" s="7" t="s">
        <v>273</v>
      </c>
      <c r="D150" s="7" t="s">
        <v>274</v>
      </c>
      <c r="E150" s="7">
        <v>1</v>
      </c>
      <c r="F150" s="13">
        <v>107.206143300148</v>
      </c>
      <c r="G150" s="13">
        <v>4226.76648850974</v>
      </c>
      <c r="H150" s="13">
        <v>0.761097837935926</v>
      </c>
      <c r="I150" s="18">
        <v>0.3815</v>
      </c>
      <c r="J150" s="13">
        <v>277.541490434161</v>
      </c>
      <c r="K150" s="13">
        <v>309.674235528914</v>
      </c>
      <c r="L150" s="13">
        <v>351.908605705443</v>
      </c>
      <c r="M150" s="13">
        <v>2416.26455841976</v>
      </c>
      <c r="N150" s="13">
        <v>3260.7194476025</v>
      </c>
      <c r="O150" s="13">
        <v>7.5</v>
      </c>
      <c r="P150" s="13">
        <v>17.406946484647</v>
      </c>
      <c r="Q150" s="26">
        <v>0.0045</v>
      </c>
      <c r="R150" s="25">
        <v>0.1955</v>
      </c>
      <c r="S150" s="18">
        <v>0.078</v>
      </c>
      <c r="T150" s="18">
        <v>0.156877888848499</v>
      </c>
      <c r="U150" s="13">
        <v>33.2044076906464</v>
      </c>
      <c r="V150" s="25">
        <v>0.0095</v>
      </c>
      <c r="W150" s="25">
        <v>0.0135</v>
      </c>
      <c r="X150" s="18">
        <v>0.731696283410396</v>
      </c>
      <c r="Y150" s="18">
        <v>0.018337690582383</v>
      </c>
      <c r="Z150" s="25">
        <v>0.0165</v>
      </c>
    </row>
    <row r="151" s="1" customFormat="1" ht="12.75" spans="1:26">
      <c r="A151" s="7"/>
      <c r="B151" s="7"/>
      <c r="C151" s="7"/>
      <c r="D151" s="7" t="s">
        <v>274</v>
      </c>
      <c r="E151" s="7">
        <v>2</v>
      </c>
      <c r="F151" s="13">
        <v>84.0321586293859</v>
      </c>
      <c r="G151" s="13">
        <v>3584.06935393413</v>
      </c>
      <c r="H151" s="13">
        <v>1.004495321262</v>
      </c>
      <c r="I151" s="18">
        <v>0.3815</v>
      </c>
      <c r="J151" s="13">
        <v>398.218132343201</v>
      </c>
      <c r="K151" s="13">
        <v>436.849616648666</v>
      </c>
      <c r="L151" s="13">
        <v>333.403969524612</v>
      </c>
      <c r="M151" s="13">
        <v>2315.36355352698</v>
      </c>
      <c r="N151" s="13">
        <v>3096.79294169385</v>
      </c>
      <c r="O151" s="13">
        <v>7.5</v>
      </c>
      <c r="P151" s="13">
        <v>6</v>
      </c>
      <c r="Q151" s="26">
        <v>0.0045</v>
      </c>
      <c r="R151" s="25">
        <v>0.122</v>
      </c>
      <c r="S151" s="18">
        <v>0.078</v>
      </c>
      <c r="T151" s="18">
        <v>0.059883557504928</v>
      </c>
      <c r="U151" s="13">
        <v>27.4459335782437</v>
      </c>
      <c r="V151" s="18">
        <v>0.026270175949531</v>
      </c>
      <c r="W151" s="25">
        <v>0.0085</v>
      </c>
      <c r="X151" s="18">
        <v>0.292872935423601</v>
      </c>
      <c r="Y151" s="18">
        <v>0.007500040401692</v>
      </c>
      <c r="Z151" s="25">
        <v>0.01</v>
      </c>
    </row>
    <row r="152" s="1" customFormat="1" ht="12.75" spans="1:26">
      <c r="A152" s="7"/>
      <c r="B152" s="7"/>
      <c r="C152" s="7"/>
      <c r="D152" s="7" t="s">
        <v>274</v>
      </c>
      <c r="E152" s="7">
        <v>3</v>
      </c>
      <c r="F152" s="13">
        <v>125.773472451788</v>
      </c>
      <c r="G152" s="13">
        <v>4447.98615184732</v>
      </c>
      <c r="H152" s="13">
        <v>0.71800289539998</v>
      </c>
      <c r="I152" s="18">
        <v>0.3815</v>
      </c>
      <c r="J152" s="13">
        <v>421.124825622651</v>
      </c>
      <c r="K152" s="13">
        <v>419.517870700925</v>
      </c>
      <c r="L152" s="13">
        <v>405.267759130044</v>
      </c>
      <c r="M152" s="13">
        <v>3048.03461795345</v>
      </c>
      <c r="N152" s="13">
        <v>3199.57652858055</v>
      </c>
      <c r="O152" s="13">
        <v>7.5</v>
      </c>
      <c r="P152" s="13">
        <v>6</v>
      </c>
      <c r="Q152" s="26">
        <v>0.0045</v>
      </c>
      <c r="R152" s="25">
        <v>0.1635</v>
      </c>
      <c r="S152" s="18">
        <v>0.078</v>
      </c>
      <c r="T152" s="25">
        <v>0.0225</v>
      </c>
      <c r="U152" s="13">
        <v>43.4379258334516</v>
      </c>
      <c r="V152" s="25">
        <v>0.008</v>
      </c>
      <c r="W152" s="25">
        <v>0.0115</v>
      </c>
      <c r="X152" s="18">
        <v>0.452930083416037</v>
      </c>
      <c r="Y152" s="25">
        <v>0.003</v>
      </c>
      <c r="Z152" s="18">
        <v>0.030274742992181</v>
      </c>
    </row>
    <row r="153" s="1" customFormat="1" ht="12.75" spans="1:26">
      <c r="A153" s="7"/>
      <c r="B153" s="7"/>
      <c r="C153" s="7"/>
      <c r="D153" s="7" t="s">
        <v>274</v>
      </c>
      <c r="E153" s="7">
        <v>4</v>
      </c>
      <c r="F153" s="13">
        <v>59.9126110585696</v>
      </c>
      <c r="G153" s="13">
        <v>5149.93841593486</v>
      </c>
      <c r="H153" s="13">
        <v>0.557885992289093</v>
      </c>
      <c r="I153" s="18">
        <v>0.3815</v>
      </c>
      <c r="J153" s="13">
        <v>402.149734234204</v>
      </c>
      <c r="K153" s="13">
        <v>619.540767878786</v>
      </c>
      <c r="L153" s="13">
        <v>365.576587633323</v>
      </c>
      <c r="M153" s="13">
        <v>3169.74051907531</v>
      </c>
      <c r="N153" s="13">
        <v>3459.17100020101</v>
      </c>
      <c r="O153" s="13">
        <v>7.5</v>
      </c>
      <c r="P153" s="13">
        <v>6</v>
      </c>
      <c r="Q153" s="26">
        <v>0.0045</v>
      </c>
      <c r="R153" s="18">
        <v>0.349627323832254</v>
      </c>
      <c r="S153" s="18">
        <v>0.078</v>
      </c>
      <c r="T153" s="18">
        <v>0.180006040628455</v>
      </c>
      <c r="U153" s="13">
        <v>44.9641526882759</v>
      </c>
      <c r="V153" s="18">
        <v>0.039354664023907</v>
      </c>
      <c r="W153" s="18">
        <v>0.030196035405966</v>
      </c>
      <c r="X153" s="18">
        <v>1.40957598617456</v>
      </c>
      <c r="Y153" s="18">
        <v>0.012499361699036</v>
      </c>
      <c r="Z153" s="18">
        <v>0.089813093123336</v>
      </c>
    </row>
    <row r="154" s="1" customFormat="1" ht="12.75" spans="1:26">
      <c r="A154" s="7"/>
      <c r="B154" s="7"/>
      <c r="C154" s="7"/>
      <c r="D154" s="7" t="s">
        <v>274</v>
      </c>
      <c r="E154" s="7">
        <v>5</v>
      </c>
      <c r="F154" s="13">
        <v>62.874445988969</v>
      </c>
      <c r="G154" s="13">
        <v>6067.35468664206</v>
      </c>
      <c r="H154" s="13">
        <v>0.594912689845525</v>
      </c>
      <c r="I154" s="18">
        <v>0.3815</v>
      </c>
      <c r="J154" s="13">
        <v>327.565714042527</v>
      </c>
      <c r="K154" s="13">
        <v>426.088639412575</v>
      </c>
      <c r="L154" s="13">
        <v>429.893329142173</v>
      </c>
      <c r="M154" s="13">
        <v>2777.07274853264</v>
      </c>
      <c r="N154" s="13">
        <v>3285.01092326818</v>
      </c>
      <c r="O154" s="13">
        <v>7.5</v>
      </c>
      <c r="P154" s="13">
        <v>6</v>
      </c>
      <c r="Q154" s="26">
        <v>0.0045</v>
      </c>
      <c r="R154" s="25">
        <v>0.1145</v>
      </c>
      <c r="S154" s="18">
        <v>0.078</v>
      </c>
      <c r="T154" s="25">
        <v>0.016</v>
      </c>
      <c r="U154" s="13">
        <v>38.7469965867162</v>
      </c>
      <c r="V154" s="18">
        <v>0.023803999521206</v>
      </c>
      <c r="W154" s="25">
        <v>0.008</v>
      </c>
      <c r="X154" s="18">
        <v>0.492907326284233</v>
      </c>
      <c r="Y154" s="25">
        <v>0.002</v>
      </c>
      <c r="Z154" s="25">
        <v>0.01</v>
      </c>
    </row>
    <row r="155" s="1" customFormat="1" ht="12.75" spans="1:26">
      <c r="A155" s="7"/>
      <c r="B155" s="7"/>
      <c r="C155" s="7"/>
      <c r="D155" s="7" t="s">
        <v>274</v>
      </c>
      <c r="E155" s="7">
        <v>6</v>
      </c>
      <c r="F155" s="13">
        <v>62.1964576341316</v>
      </c>
      <c r="G155" s="13">
        <v>6478.48421689135</v>
      </c>
      <c r="H155" s="13">
        <v>0.743555211726044</v>
      </c>
      <c r="I155" s="18">
        <v>0.3815</v>
      </c>
      <c r="J155" s="13">
        <v>503.254440236381</v>
      </c>
      <c r="K155" s="13">
        <v>530.63752703779</v>
      </c>
      <c r="L155" s="13">
        <v>598.938324861121</v>
      </c>
      <c r="M155" s="13">
        <v>3053.02901871354</v>
      </c>
      <c r="N155" s="13">
        <v>3212.93131195698</v>
      </c>
      <c r="O155" s="13">
        <v>7.5</v>
      </c>
      <c r="P155" s="13">
        <v>6</v>
      </c>
      <c r="Q155" s="26">
        <v>0.0045</v>
      </c>
      <c r="R155" s="25">
        <v>0.123</v>
      </c>
      <c r="S155" s="18">
        <v>0.078</v>
      </c>
      <c r="T155" s="25">
        <v>0.017</v>
      </c>
      <c r="U155" s="13">
        <v>29.4510976920012</v>
      </c>
      <c r="V155" s="18">
        <v>0.064831259690294</v>
      </c>
      <c r="W155" s="25">
        <v>0.0085</v>
      </c>
      <c r="X155" s="18">
        <v>0.527956290032454</v>
      </c>
      <c r="Y155" s="25">
        <v>0.002</v>
      </c>
      <c r="Z155" s="18">
        <v>0.070593156315931</v>
      </c>
    </row>
    <row r="156" s="1" customFormat="1" ht="12.75" spans="1:26">
      <c r="A156" s="7"/>
      <c r="B156" s="7"/>
      <c r="C156" s="7"/>
      <c r="D156" s="7" t="s">
        <v>274</v>
      </c>
      <c r="E156" s="7">
        <v>7</v>
      </c>
      <c r="F156" s="13">
        <v>49.7425468793486</v>
      </c>
      <c r="G156" s="13">
        <v>5675.13149117275</v>
      </c>
      <c r="H156" s="13">
        <v>0.914181971112201</v>
      </c>
      <c r="I156" s="18">
        <v>0.3815</v>
      </c>
      <c r="J156" s="13">
        <v>334.095954804954</v>
      </c>
      <c r="K156" s="13">
        <v>344.667680017693</v>
      </c>
      <c r="L156" s="13">
        <v>439.01589629545</v>
      </c>
      <c r="M156" s="13">
        <v>2970.61788688292</v>
      </c>
      <c r="N156" s="13">
        <v>3153.22784174269</v>
      </c>
      <c r="O156" s="13">
        <v>7.5</v>
      </c>
      <c r="P156" s="13">
        <v>6</v>
      </c>
      <c r="Q156" s="26">
        <v>0.0045</v>
      </c>
      <c r="R156" s="25">
        <v>0.11</v>
      </c>
      <c r="S156" s="18">
        <v>0.078</v>
      </c>
      <c r="T156" s="25">
        <v>0.015</v>
      </c>
      <c r="U156" s="13">
        <v>41.7673315861139</v>
      </c>
      <c r="V156" s="25">
        <v>0.0055</v>
      </c>
      <c r="W156" s="18">
        <v>0.02603845095017</v>
      </c>
      <c r="X156" s="18">
        <v>0.658920256617973</v>
      </c>
      <c r="Y156" s="18">
        <v>0.004903946786158</v>
      </c>
      <c r="Z156" s="18">
        <v>0.052255117095079</v>
      </c>
    </row>
    <row r="157" s="1" customFormat="1" ht="12.75" spans="1:26">
      <c r="A157" s="7"/>
      <c r="B157" s="32" t="s">
        <v>282</v>
      </c>
      <c r="C157" s="32" t="s">
        <v>273</v>
      </c>
      <c r="D157" s="32" t="s">
        <v>278</v>
      </c>
      <c r="E157" s="32"/>
      <c r="F157" s="40">
        <f>AVERAGE(F150:F156)</f>
        <v>78.8196908489058</v>
      </c>
      <c r="G157" s="40">
        <f t="shared" ref="G157:Z157" si="5">AVERAGE(G150:G156)</f>
        <v>5089.96154356174</v>
      </c>
      <c r="H157" s="40">
        <f t="shared" si="5"/>
        <v>0.756304559938681</v>
      </c>
      <c r="I157" s="40">
        <f t="shared" si="5"/>
        <v>0.3815</v>
      </c>
      <c r="J157" s="40">
        <f t="shared" si="5"/>
        <v>380.564327388297</v>
      </c>
      <c r="K157" s="40">
        <f t="shared" si="5"/>
        <v>440.996619603621</v>
      </c>
      <c r="L157" s="40">
        <f t="shared" si="5"/>
        <v>417.714924613167</v>
      </c>
      <c r="M157" s="40">
        <f t="shared" si="5"/>
        <v>2821.44612901494</v>
      </c>
      <c r="N157" s="40">
        <f t="shared" si="5"/>
        <v>3238.20428500654</v>
      </c>
      <c r="O157" s="40">
        <f t="shared" si="5"/>
        <v>7.5</v>
      </c>
      <c r="P157" s="40">
        <f t="shared" si="5"/>
        <v>7.629563783521</v>
      </c>
      <c r="Q157" s="40">
        <f t="shared" si="5"/>
        <v>0.0045</v>
      </c>
      <c r="R157" s="40">
        <f t="shared" si="5"/>
        <v>0.168303903404608</v>
      </c>
      <c r="S157" s="40">
        <f t="shared" si="5"/>
        <v>0.078</v>
      </c>
      <c r="T157" s="40">
        <f t="shared" si="5"/>
        <v>0.0667524981402689</v>
      </c>
      <c r="U157" s="40">
        <f t="shared" si="5"/>
        <v>37.0025493793498</v>
      </c>
      <c r="V157" s="40">
        <f t="shared" si="5"/>
        <v>0.025322871312134</v>
      </c>
      <c r="W157" s="40">
        <f t="shared" si="5"/>
        <v>0.0151763551937337</v>
      </c>
      <c r="X157" s="40">
        <f t="shared" si="5"/>
        <v>0.652408451622751</v>
      </c>
      <c r="Y157" s="40">
        <f t="shared" si="5"/>
        <v>0.00717729135275271</v>
      </c>
      <c r="Z157" s="40">
        <f t="shared" si="5"/>
        <v>0.0399194442180753</v>
      </c>
    </row>
    <row r="158" s="1" customFormat="1" ht="12.75" spans="1:26">
      <c r="A158" s="7"/>
      <c r="B158" s="7" t="s">
        <v>277</v>
      </c>
      <c r="C158" s="7" t="s">
        <v>273</v>
      </c>
      <c r="D158" s="7" t="s">
        <v>275</v>
      </c>
      <c r="E158" s="7">
        <v>1</v>
      </c>
      <c r="F158" s="13">
        <v>20126.5326062869</v>
      </c>
      <c r="G158" s="13">
        <v>401645.912156237</v>
      </c>
      <c r="H158" s="13">
        <v>0.985150735070292</v>
      </c>
      <c r="I158" s="18">
        <v>0.3815</v>
      </c>
      <c r="J158" s="13">
        <v>60.463022928965</v>
      </c>
      <c r="K158" s="13">
        <v>31</v>
      </c>
      <c r="L158" s="13">
        <v>20.195808190583</v>
      </c>
      <c r="M158" s="13">
        <v>139.143954543937</v>
      </c>
      <c r="N158" s="13">
        <v>635.498278436683</v>
      </c>
      <c r="O158" s="13">
        <v>2877.43060930369</v>
      </c>
      <c r="P158" s="13">
        <v>74471.513572733</v>
      </c>
      <c r="Q158" s="26">
        <v>0.0045</v>
      </c>
      <c r="R158" s="18">
        <v>2.18210995340721</v>
      </c>
      <c r="S158" s="18">
        <v>0.078</v>
      </c>
      <c r="T158" s="18">
        <v>0.153445989167388</v>
      </c>
      <c r="U158" s="13">
        <v>36.0838651849439</v>
      </c>
      <c r="V158" s="25">
        <v>0.0035</v>
      </c>
      <c r="W158" s="25">
        <v>0.0045</v>
      </c>
      <c r="X158" s="18">
        <v>0.653993035119524</v>
      </c>
      <c r="Y158" s="18">
        <v>0.107020804277182</v>
      </c>
      <c r="Z158" s="18">
        <v>8.30116056574425</v>
      </c>
    </row>
    <row r="159" s="1" customFormat="1" ht="12.75" spans="1:26">
      <c r="A159" s="7"/>
      <c r="B159" s="7"/>
      <c r="C159" s="7"/>
      <c r="D159" s="7" t="s">
        <v>275</v>
      </c>
      <c r="E159" s="7">
        <v>2</v>
      </c>
      <c r="F159" s="13">
        <v>14516.67840381</v>
      </c>
      <c r="G159" s="13">
        <v>310629.108516463</v>
      </c>
      <c r="H159" s="13">
        <v>1.27083926852815</v>
      </c>
      <c r="I159" s="18">
        <v>0.3815</v>
      </c>
      <c r="J159" s="13">
        <v>66.126500338388</v>
      </c>
      <c r="K159" s="13">
        <v>31</v>
      </c>
      <c r="L159" s="13">
        <v>43.647935647806</v>
      </c>
      <c r="M159" s="13">
        <v>99.347237062539</v>
      </c>
      <c r="N159" s="13">
        <v>80.893162755102</v>
      </c>
      <c r="O159" s="13">
        <v>766.703107222888</v>
      </c>
      <c r="P159" s="13">
        <v>30840.9539183815</v>
      </c>
      <c r="Q159" s="26">
        <v>0.01037122952371</v>
      </c>
      <c r="R159" s="18">
        <v>1.0543563971896</v>
      </c>
      <c r="S159" s="18">
        <v>0.078</v>
      </c>
      <c r="T159" s="18">
        <v>0.021460309910215</v>
      </c>
      <c r="U159" s="13">
        <v>15.1247957856527</v>
      </c>
      <c r="V159" s="18">
        <v>0.005025929647484</v>
      </c>
      <c r="W159" s="25">
        <v>0.0035</v>
      </c>
      <c r="X159" s="18">
        <v>0.166869069751183</v>
      </c>
      <c r="Y159" s="18">
        <v>0.146854536606932</v>
      </c>
      <c r="Z159" s="18">
        <v>2.97088678123152</v>
      </c>
    </row>
    <row r="160" s="1" customFormat="1" ht="12.75" spans="1:26">
      <c r="A160" s="7"/>
      <c r="B160" s="7"/>
      <c r="C160" s="7"/>
      <c r="D160" s="7" t="s">
        <v>275</v>
      </c>
      <c r="E160" s="7">
        <v>3</v>
      </c>
      <c r="F160" s="13">
        <v>16648.2890571489</v>
      </c>
      <c r="G160" s="13">
        <v>378224.688782802</v>
      </c>
      <c r="H160" s="13">
        <v>0.570189584695431</v>
      </c>
      <c r="I160" s="18">
        <v>0.3815</v>
      </c>
      <c r="J160" s="13">
        <v>147.681706313218</v>
      </c>
      <c r="K160" s="13">
        <v>31</v>
      </c>
      <c r="L160" s="13">
        <v>4</v>
      </c>
      <c r="M160" s="13">
        <v>93.718339214712</v>
      </c>
      <c r="N160" s="13">
        <v>4.5</v>
      </c>
      <c r="O160" s="13">
        <v>1265.99891673756</v>
      </c>
      <c r="P160" s="13">
        <v>56772.9317878278</v>
      </c>
      <c r="Q160" s="26">
        <v>0.0045</v>
      </c>
      <c r="R160" s="18">
        <v>0.785913522357784</v>
      </c>
      <c r="S160" s="18">
        <v>0.078</v>
      </c>
      <c r="T160" s="18">
        <v>0.276682278530781</v>
      </c>
      <c r="U160" s="13">
        <v>52.1029887210688</v>
      </c>
      <c r="V160" s="18">
        <v>0.073057119604554</v>
      </c>
      <c r="W160" s="18">
        <v>0.032902604954581</v>
      </c>
      <c r="X160" s="25">
        <v>0.0705</v>
      </c>
      <c r="Y160" s="18">
        <v>0.11652253327136</v>
      </c>
      <c r="Z160" s="18">
        <v>0.350020080971272</v>
      </c>
    </row>
    <row r="161" s="1" customFormat="1" ht="12.75" spans="1:26">
      <c r="A161" s="7"/>
      <c r="B161" s="7"/>
      <c r="C161" s="7"/>
      <c r="D161" s="7" t="s">
        <v>275</v>
      </c>
      <c r="E161" s="7">
        <v>4</v>
      </c>
      <c r="F161" s="13">
        <v>19489.7104505807</v>
      </c>
      <c r="G161" s="13">
        <v>418143.341966473</v>
      </c>
      <c r="H161" s="13">
        <v>0.379856883189983</v>
      </c>
      <c r="I161" s="18">
        <v>0.3815</v>
      </c>
      <c r="J161" s="13">
        <v>140.037113923716</v>
      </c>
      <c r="K161" s="13">
        <v>31</v>
      </c>
      <c r="L161" s="13">
        <v>42.746241509662</v>
      </c>
      <c r="M161" s="13">
        <v>159.455572531385</v>
      </c>
      <c r="N161" s="13">
        <v>617.050837640762</v>
      </c>
      <c r="O161" s="13">
        <v>526.457535632353</v>
      </c>
      <c r="P161" s="13">
        <v>58580.8328621226</v>
      </c>
      <c r="Q161" s="26">
        <v>0.0045</v>
      </c>
      <c r="R161" s="18">
        <v>1.77888702693372</v>
      </c>
      <c r="S161" s="18">
        <v>0.078</v>
      </c>
      <c r="T161" s="18">
        <v>0.228374853578509</v>
      </c>
      <c r="U161" s="13">
        <v>41.0101976498878</v>
      </c>
      <c r="V161" s="25">
        <v>0.0045</v>
      </c>
      <c r="W161" s="25">
        <v>0.006</v>
      </c>
      <c r="X161" s="18">
        <v>0.496110057898556</v>
      </c>
      <c r="Y161" s="18">
        <v>0.060781925265474</v>
      </c>
      <c r="Z161" s="18">
        <v>5.67748418780103</v>
      </c>
    </row>
    <row r="162" s="1" customFormat="1" ht="12.75" spans="1:26">
      <c r="A162" s="7"/>
      <c r="B162" s="7"/>
      <c r="C162" s="7"/>
      <c r="D162" s="7" t="s">
        <v>275</v>
      </c>
      <c r="E162" s="7">
        <v>5</v>
      </c>
      <c r="F162" s="13">
        <v>17475.8994129944</v>
      </c>
      <c r="G162" s="13">
        <v>395738.071546239</v>
      </c>
      <c r="H162" s="13">
        <v>74.0328060392487</v>
      </c>
      <c r="I162" s="18">
        <v>221.457380572124</v>
      </c>
      <c r="J162" s="13">
        <v>6</v>
      </c>
      <c r="K162" s="13">
        <v>31</v>
      </c>
      <c r="L162" s="13">
        <v>4</v>
      </c>
      <c r="M162" s="13">
        <v>119.005114351458</v>
      </c>
      <c r="N162" s="13">
        <v>4.5</v>
      </c>
      <c r="O162" s="13">
        <v>1292.2172960219</v>
      </c>
      <c r="P162" s="13">
        <v>50685.9092193606</v>
      </c>
      <c r="Q162" s="24">
        <v>0.035492053372622</v>
      </c>
      <c r="R162" s="18">
        <v>6.23757382150596</v>
      </c>
      <c r="S162" s="18">
        <v>1.59678916234518</v>
      </c>
      <c r="T162" s="18">
        <v>0.104971069688929</v>
      </c>
      <c r="U162" s="13">
        <v>43.5879860090075</v>
      </c>
      <c r="V162" s="18">
        <v>0.02312963723359</v>
      </c>
      <c r="W162" s="25">
        <v>0.0065</v>
      </c>
      <c r="X162" s="18">
        <v>0.182063663328814</v>
      </c>
      <c r="Y162" s="18">
        <v>0.371947392356985</v>
      </c>
      <c r="Z162" s="18">
        <v>17.6536470726866</v>
      </c>
    </row>
    <row r="163" s="1" customFormat="1" ht="12.75" spans="1:26">
      <c r="A163" s="7"/>
      <c r="B163" s="7"/>
      <c r="C163" s="7"/>
      <c r="D163" s="7" t="s">
        <v>275</v>
      </c>
      <c r="E163" s="7">
        <v>6</v>
      </c>
      <c r="F163" s="13">
        <v>17010.008026929</v>
      </c>
      <c r="G163" s="13">
        <v>404783.959757685</v>
      </c>
      <c r="H163" s="13">
        <v>0.468324160657734</v>
      </c>
      <c r="I163" s="18">
        <v>29.784660418041</v>
      </c>
      <c r="J163" s="13">
        <v>6</v>
      </c>
      <c r="K163" s="13">
        <v>31</v>
      </c>
      <c r="L163" s="13">
        <v>4</v>
      </c>
      <c r="M163" s="13">
        <v>172.913337697903</v>
      </c>
      <c r="N163" s="13">
        <v>4.5</v>
      </c>
      <c r="O163" s="13">
        <v>1332.42263876085</v>
      </c>
      <c r="P163" s="13">
        <v>57374.7205960902</v>
      </c>
      <c r="Q163" s="26">
        <v>0.0045</v>
      </c>
      <c r="R163" s="18">
        <v>1.47169968948845</v>
      </c>
      <c r="S163" s="18">
        <v>0.190594089664878</v>
      </c>
      <c r="T163" s="25">
        <v>0.035</v>
      </c>
      <c r="U163" s="13">
        <v>26.6585472177981</v>
      </c>
      <c r="V163" s="18">
        <v>0.028667982548029</v>
      </c>
      <c r="W163" s="25">
        <v>0.0175</v>
      </c>
      <c r="X163" s="18">
        <v>2.014</v>
      </c>
      <c r="Y163" s="18">
        <v>0.125106484089378</v>
      </c>
      <c r="Z163" s="18">
        <v>2.01224308464362</v>
      </c>
    </row>
    <row r="164" s="1" customFormat="1" ht="12.75" spans="1:26">
      <c r="A164" s="7"/>
      <c r="B164" s="7"/>
      <c r="C164" s="7"/>
      <c r="D164" s="7" t="s">
        <v>275</v>
      </c>
      <c r="E164" s="7">
        <v>7</v>
      </c>
      <c r="F164" s="13">
        <v>13872.0335293374</v>
      </c>
      <c r="G164" s="13">
        <v>370407.058417358</v>
      </c>
      <c r="H164" s="13">
        <v>16.3204784500779</v>
      </c>
      <c r="I164" s="18">
        <v>1.96536204168157</v>
      </c>
      <c r="J164" s="13">
        <v>384.64121496914</v>
      </c>
      <c r="K164" s="13">
        <v>199.2438317781</v>
      </c>
      <c r="L164" s="13">
        <v>159.991902447139</v>
      </c>
      <c r="M164" s="13">
        <v>410.794294891024</v>
      </c>
      <c r="N164" s="13">
        <v>493.921698326114</v>
      </c>
      <c r="O164" s="13">
        <v>1965.29222435261</v>
      </c>
      <c r="P164" s="13">
        <v>58236.7066916937</v>
      </c>
      <c r="Q164" s="26">
        <v>0.0045</v>
      </c>
      <c r="R164" s="18">
        <v>2.34853983641653</v>
      </c>
      <c r="S164" s="18">
        <v>0.078</v>
      </c>
      <c r="T164" s="18">
        <v>0.129473587452361</v>
      </c>
      <c r="U164" s="13">
        <v>39.3652473842358</v>
      </c>
      <c r="V164" s="18">
        <v>0.043771411083741</v>
      </c>
      <c r="W164" s="25">
        <v>0.0065</v>
      </c>
      <c r="X164" s="18">
        <v>0.512113051176929</v>
      </c>
      <c r="Y164" s="18">
        <v>0.033478978103801</v>
      </c>
      <c r="Z164" s="18">
        <v>6.65687584027889</v>
      </c>
    </row>
    <row r="165" s="1" customFormat="1" ht="12.75" spans="1:26">
      <c r="A165" s="7"/>
      <c r="B165" s="7"/>
      <c r="C165" s="7"/>
      <c r="D165" s="7" t="s">
        <v>275</v>
      </c>
      <c r="E165" s="7">
        <v>8</v>
      </c>
      <c r="F165" s="13">
        <v>14850.9779045197</v>
      </c>
      <c r="G165" s="13">
        <v>328605.988138635</v>
      </c>
      <c r="H165" s="13">
        <v>27.1727854156823</v>
      </c>
      <c r="I165" s="18">
        <v>12.5946628631951</v>
      </c>
      <c r="J165" s="13">
        <v>6</v>
      </c>
      <c r="K165" s="13">
        <v>31</v>
      </c>
      <c r="L165" s="13">
        <v>4</v>
      </c>
      <c r="M165" s="13">
        <v>70.084282116651</v>
      </c>
      <c r="N165" s="13">
        <v>4.5</v>
      </c>
      <c r="O165" s="13">
        <v>695.456943424192</v>
      </c>
      <c r="P165" s="13">
        <v>53252.9215480828</v>
      </c>
      <c r="Q165" s="24">
        <v>0.03447737042026</v>
      </c>
      <c r="R165" s="18">
        <v>3.35340057291334</v>
      </c>
      <c r="S165" s="18">
        <v>0.078</v>
      </c>
      <c r="T165" s="18">
        <v>0.108178507403584</v>
      </c>
      <c r="U165" s="13">
        <v>30.4484329252537</v>
      </c>
      <c r="V165" s="18">
        <v>0.010923159133716</v>
      </c>
      <c r="W165" s="25">
        <v>0.0055</v>
      </c>
      <c r="X165" s="18">
        <v>0.987559116125406</v>
      </c>
      <c r="Y165" s="18">
        <v>0.401878581838272</v>
      </c>
      <c r="Z165" s="18">
        <v>7.46740498169344</v>
      </c>
    </row>
    <row r="166" s="1" customFormat="1" ht="12.75" spans="1:26">
      <c r="A166" s="7"/>
      <c r="B166" s="7"/>
      <c r="C166" s="7"/>
      <c r="D166" s="7" t="s">
        <v>275</v>
      </c>
      <c r="E166" s="7">
        <v>9</v>
      </c>
      <c r="F166" s="13">
        <v>14275.765477963</v>
      </c>
      <c r="G166" s="13">
        <v>335884.125248284</v>
      </c>
      <c r="H166" s="13">
        <v>259.497723820106</v>
      </c>
      <c r="I166" s="18">
        <v>20.8010617348244</v>
      </c>
      <c r="J166" s="13">
        <v>6</v>
      </c>
      <c r="K166" s="13">
        <v>31</v>
      </c>
      <c r="L166" s="13">
        <v>4</v>
      </c>
      <c r="M166" s="13">
        <v>74.4507588771015</v>
      </c>
      <c r="N166" s="13">
        <v>4.5</v>
      </c>
      <c r="O166" s="13">
        <v>30.583839145459</v>
      </c>
      <c r="P166" s="13">
        <v>54718.4682062475</v>
      </c>
      <c r="Q166" s="26">
        <v>0.0045</v>
      </c>
      <c r="R166" s="18">
        <v>2.99110482363377</v>
      </c>
      <c r="S166" s="18">
        <v>0.118937090176743</v>
      </c>
      <c r="T166" s="18">
        <v>0.117477177442147</v>
      </c>
      <c r="U166" s="13">
        <v>40.8422680784811</v>
      </c>
      <c r="V166" s="25">
        <v>0.0055</v>
      </c>
      <c r="W166" s="25">
        <v>0.007</v>
      </c>
      <c r="X166" s="18">
        <v>0.795810238097144</v>
      </c>
      <c r="Y166" s="18">
        <v>0.183061092513545</v>
      </c>
      <c r="Z166" s="18">
        <v>11.0324254777438</v>
      </c>
    </row>
    <row r="167" s="1" customFormat="1" ht="12.75" spans="1:26">
      <c r="A167" s="7"/>
      <c r="B167" s="32" t="s">
        <v>277</v>
      </c>
      <c r="C167" s="32" t="s">
        <v>273</v>
      </c>
      <c r="D167" s="32" t="s">
        <v>283</v>
      </c>
      <c r="E167" s="32"/>
      <c r="F167" s="40">
        <f>AVERAGE(F158:F166)</f>
        <v>16473.9883188411</v>
      </c>
      <c r="G167" s="40">
        <f t="shared" ref="G167:Z167" si="6">AVERAGE(G158:G166)</f>
        <v>371562.472725575</v>
      </c>
      <c r="H167" s="40">
        <f t="shared" si="6"/>
        <v>42.2997949285841</v>
      </c>
      <c r="I167" s="40">
        <f t="shared" si="6"/>
        <v>32.0143475144296</v>
      </c>
      <c r="J167" s="40">
        <f t="shared" si="6"/>
        <v>91.4388398303808</v>
      </c>
      <c r="K167" s="40">
        <f t="shared" si="6"/>
        <v>49.6937590864556</v>
      </c>
      <c r="L167" s="40">
        <f t="shared" si="6"/>
        <v>31.8424319772433</v>
      </c>
      <c r="M167" s="40">
        <f t="shared" si="6"/>
        <v>148.768099031857</v>
      </c>
      <c r="N167" s="40">
        <f t="shared" si="6"/>
        <v>205.540441906518</v>
      </c>
      <c r="O167" s="40">
        <f t="shared" si="6"/>
        <v>1194.72923451128</v>
      </c>
      <c r="P167" s="40">
        <f t="shared" si="6"/>
        <v>54992.7731558377</v>
      </c>
      <c r="Q167" s="40">
        <f>AVERAGE(Q158:Q161,Q163:Q164,Q166)</f>
        <v>0.00533874707481571</v>
      </c>
      <c r="R167" s="40">
        <f t="shared" si="6"/>
        <v>2.46706507153848</v>
      </c>
      <c r="S167" s="40">
        <f t="shared" si="6"/>
        <v>0.263813371354089</v>
      </c>
      <c r="T167" s="40">
        <f t="shared" si="6"/>
        <v>0.130562641463768</v>
      </c>
      <c r="U167" s="40">
        <f t="shared" si="6"/>
        <v>36.1360365507033</v>
      </c>
      <c r="V167" s="40">
        <f t="shared" si="6"/>
        <v>0.0220083599167904</v>
      </c>
      <c r="W167" s="40">
        <f t="shared" si="6"/>
        <v>0.00998917832828678</v>
      </c>
      <c r="X167" s="40">
        <f t="shared" si="6"/>
        <v>0.653224247944173</v>
      </c>
      <c r="Y167" s="40">
        <f t="shared" si="6"/>
        <v>0.171850258702548</v>
      </c>
      <c r="Z167" s="40">
        <f t="shared" si="6"/>
        <v>6.90246089697716</v>
      </c>
    </row>
    <row r="168" s="1" customFormat="1" ht="12.75" spans="1:26">
      <c r="A168" s="7"/>
      <c r="B168" s="7" t="s">
        <v>279</v>
      </c>
      <c r="C168" s="7" t="s">
        <v>273</v>
      </c>
      <c r="D168" s="7" t="s">
        <v>275</v>
      </c>
      <c r="E168" s="7">
        <v>1</v>
      </c>
      <c r="F168" s="13">
        <v>20927.5455765638</v>
      </c>
      <c r="G168" s="13">
        <v>379124.183457006</v>
      </c>
      <c r="H168" s="13">
        <v>3.04240352713929</v>
      </c>
      <c r="I168" s="18">
        <v>0.3815</v>
      </c>
      <c r="J168" s="13">
        <v>71.485258379071</v>
      </c>
      <c r="K168" s="13">
        <v>31</v>
      </c>
      <c r="L168" s="13">
        <v>26.036180105822</v>
      </c>
      <c r="M168" s="13">
        <v>253.867502913317</v>
      </c>
      <c r="N168" s="13">
        <v>307.455959293747</v>
      </c>
      <c r="O168" s="13">
        <v>1461.74784183194</v>
      </c>
      <c r="P168" s="13">
        <v>44506.2178616793</v>
      </c>
      <c r="Q168" s="26">
        <v>0.0045</v>
      </c>
      <c r="R168" s="18">
        <v>4.10599938208312</v>
      </c>
      <c r="S168" s="18">
        <v>0.119</v>
      </c>
      <c r="T168" s="18">
        <v>0.503763255813929</v>
      </c>
      <c r="U168" s="13">
        <v>52.3035743703499</v>
      </c>
      <c r="V168" s="25">
        <v>0.066</v>
      </c>
      <c r="W168" s="25">
        <v>0.032</v>
      </c>
      <c r="X168" s="18">
        <v>0.846414973930425</v>
      </c>
      <c r="Y168" s="25">
        <v>0.0085</v>
      </c>
      <c r="Z168" s="18">
        <v>2.48305238429226</v>
      </c>
    </row>
    <row r="169" s="1" customFormat="1" ht="12.75" spans="1:26">
      <c r="A169" s="7"/>
      <c r="B169" s="7"/>
      <c r="C169" s="7"/>
      <c r="D169" s="7" t="s">
        <v>275</v>
      </c>
      <c r="E169" s="7">
        <v>2</v>
      </c>
      <c r="F169" s="13">
        <v>19874.5300263408</v>
      </c>
      <c r="G169" s="13">
        <v>358659.607045112</v>
      </c>
      <c r="H169" s="13">
        <v>9.39495848275972</v>
      </c>
      <c r="I169" s="18">
        <v>0.3815</v>
      </c>
      <c r="J169" s="13">
        <v>89.344184515689</v>
      </c>
      <c r="K169" s="13">
        <v>31</v>
      </c>
      <c r="L169" s="13">
        <v>17.816572183184</v>
      </c>
      <c r="M169" s="13">
        <v>265.016907273664</v>
      </c>
      <c r="N169" s="13">
        <v>280.286630457615</v>
      </c>
      <c r="O169" s="13">
        <v>1332.95612575252</v>
      </c>
      <c r="P169" s="13">
        <v>36817.3840294661</v>
      </c>
      <c r="Q169" s="24">
        <v>0.035294285640383</v>
      </c>
      <c r="R169" s="18">
        <v>7.98966107686209</v>
      </c>
      <c r="S169" s="18">
        <v>0.119</v>
      </c>
      <c r="T169" s="18">
        <v>0.532766671503342</v>
      </c>
      <c r="U169" s="13">
        <v>60.0782400692588</v>
      </c>
      <c r="V169" s="25">
        <v>0.1525</v>
      </c>
      <c r="W169" s="18">
        <v>0.38</v>
      </c>
      <c r="X169" s="25">
        <v>0.957</v>
      </c>
      <c r="Y169" s="18">
        <v>0.062576680435437</v>
      </c>
      <c r="Z169" s="18">
        <v>3.88958410895719</v>
      </c>
    </row>
    <row r="170" s="1" customFormat="1" ht="12.75" spans="1:26">
      <c r="A170" s="7"/>
      <c r="B170" s="7"/>
      <c r="C170" s="7"/>
      <c r="D170" s="7" t="s">
        <v>275</v>
      </c>
      <c r="E170" s="7">
        <v>3</v>
      </c>
      <c r="F170" s="13">
        <v>18672.2551559236</v>
      </c>
      <c r="G170" s="13">
        <v>392513.804620588</v>
      </c>
      <c r="H170" s="13">
        <v>8.46986401632359</v>
      </c>
      <c r="I170" s="18">
        <v>0.3815</v>
      </c>
      <c r="J170" s="13">
        <v>212.138317525242</v>
      </c>
      <c r="K170" s="13">
        <v>31</v>
      </c>
      <c r="L170" s="13">
        <v>25.898581496395</v>
      </c>
      <c r="M170" s="13">
        <v>319.457245876824</v>
      </c>
      <c r="N170" s="13">
        <v>251.987564926909</v>
      </c>
      <c r="O170" s="13">
        <v>2121.95917806755</v>
      </c>
      <c r="P170" s="13">
        <v>34818.9728656427</v>
      </c>
      <c r="Q170" s="26">
        <v>0.0045</v>
      </c>
      <c r="R170" s="18">
        <v>8.76965930787943</v>
      </c>
      <c r="S170" s="18">
        <v>0.119</v>
      </c>
      <c r="T170" s="25">
        <v>0.264</v>
      </c>
      <c r="U170" s="13">
        <v>58.6127800183679</v>
      </c>
      <c r="V170" s="25">
        <v>0.1805</v>
      </c>
      <c r="W170" s="25">
        <v>0.084</v>
      </c>
      <c r="X170" s="25">
        <v>1.128</v>
      </c>
      <c r="Y170" s="18">
        <v>0.340357915960978</v>
      </c>
      <c r="Z170" s="18">
        <v>9.51514785243247</v>
      </c>
    </row>
    <row r="171" s="1" customFormat="1" ht="12.75" spans="1:26">
      <c r="A171" s="7"/>
      <c r="B171" s="7"/>
      <c r="C171" s="7"/>
      <c r="D171" s="7" t="s">
        <v>275</v>
      </c>
      <c r="E171" s="7">
        <v>4</v>
      </c>
      <c r="F171" s="13">
        <v>16622.8968290145</v>
      </c>
      <c r="G171" s="13">
        <v>415660.573808496</v>
      </c>
      <c r="H171" s="13">
        <v>9.572375322416</v>
      </c>
      <c r="I171" s="18">
        <v>0.3815</v>
      </c>
      <c r="J171" s="13">
        <v>139.108486458089</v>
      </c>
      <c r="K171" s="13">
        <v>31</v>
      </c>
      <c r="L171" s="13">
        <v>59.343990179396</v>
      </c>
      <c r="M171" s="13">
        <v>442.207003900027</v>
      </c>
      <c r="N171" s="13">
        <v>153.868629818479</v>
      </c>
      <c r="O171" s="13">
        <v>2736.50349272366</v>
      </c>
      <c r="P171" s="13">
        <v>31099.6319968785</v>
      </c>
      <c r="Q171" s="26">
        <v>0.0045</v>
      </c>
      <c r="R171" s="18">
        <v>12.1186204246859</v>
      </c>
      <c r="S171" s="18">
        <v>0.119</v>
      </c>
      <c r="T171" s="25">
        <v>0.121</v>
      </c>
      <c r="U171" s="13">
        <v>52.7667657644025</v>
      </c>
      <c r="V171" s="25">
        <v>0.084</v>
      </c>
      <c r="W171" s="25">
        <v>0.0385</v>
      </c>
      <c r="X171" s="18">
        <v>1.86987991763111</v>
      </c>
      <c r="Y171" s="18">
        <v>0.542465824833479</v>
      </c>
      <c r="Z171" s="18">
        <v>18.3093303480483</v>
      </c>
    </row>
    <row r="172" s="1" customFormat="1" ht="12.75" spans="1:26">
      <c r="A172" s="7"/>
      <c r="B172" s="32" t="s">
        <v>279</v>
      </c>
      <c r="C172" s="32" t="s">
        <v>273</v>
      </c>
      <c r="D172" s="32" t="s">
        <v>283</v>
      </c>
      <c r="E172" s="32"/>
      <c r="F172" s="40">
        <f>AVERAGE(F168:F171)</f>
        <v>19024.3068969607</v>
      </c>
      <c r="G172" s="40">
        <f t="shared" ref="G172:Z172" si="7">AVERAGE(G168:G171)</f>
        <v>386489.542232801</v>
      </c>
      <c r="H172" s="40">
        <f t="shared" si="7"/>
        <v>7.61990033715965</v>
      </c>
      <c r="I172" s="40">
        <f t="shared" si="7"/>
        <v>0.3815</v>
      </c>
      <c r="J172" s="40">
        <f t="shared" si="7"/>
        <v>128.019061719523</v>
      </c>
      <c r="K172" s="40">
        <f t="shared" si="7"/>
        <v>31</v>
      </c>
      <c r="L172" s="40">
        <f t="shared" si="7"/>
        <v>32.2738309911992</v>
      </c>
      <c r="M172" s="40">
        <f t="shared" si="7"/>
        <v>320.137164990958</v>
      </c>
      <c r="N172" s="40">
        <f t="shared" si="7"/>
        <v>248.399696124187</v>
      </c>
      <c r="O172" s="40">
        <f t="shared" si="7"/>
        <v>1913.29165959392</v>
      </c>
      <c r="P172" s="40">
        <f t="shared" si="7"/>
        <v>36810.5516884167</v>
      </c>
      <c r="Q172" s="40">
        <f>AVERAGE(Q168,Q170:Q171)</f>
        <v>0.0045</v>
      </c>
      <c r="R172" s="40">
        <f t="shared" si="7"/>
        <v>8.24598504787764</v>
      </c>
      <c r="S172" s="40">
        <f t="shared" si="7"/>
        <v>0.119</v>
      </c>
      <c r="T172" s="40">
        <f t="shared" si="7"/>
        <v>0.355382481829318</v>
      </c>
      <c r="U172" s="40">
        <f t="shared" si="7"/>
        <v>55.9403400555948</v>
      </c>
      <c r="V172" s="40">
        <f t="shared" si="7"/>
        <v>0.12075</v>
      </c>
      <c r="W172" s="40">
        <f t="shared" si="7"/>
        <v>0.133625</v>
      </c>
      <c r="X172" s="40">
        <f t="shared" si="7"/>
        <v>1.20032372289038</v>
      </c>
      <c r="Y172" s="40">
        <f t="shared" si="7"/>
        <v>0.238475105307474</v>
      </c>
      <c r="Z172" s="40">
        <f t="shared" si="7"/>
        <v>8.54927867343256</v>
      </c>
    </row>
    <row r="173" s="1" customFormat="1" ht="12.75" spans="1:26">
      <c r="A173" s="7"/>
      <c r="B173" s="7" t="s">
        <v>280</v>
      </c>
      <c r="C173" s="7" t="s">
        <v>273</v>
      </c>
      <c r="D173" s="7" t="s">
        <v>275</v>
      </c>
      <c r="E173" s="7">
        <v>1</v>
      </c>
      <c r="F173" s="13">
        <v>15536.4878714768</v>
      </c>
      <c r="G173" s="13">
        <v>370811.729673096</v>
      </c>
      <c r="H173" s="13">
        <v>3.11827180001881</v>
      </c>
      <c r="I173" s="18">
        <v>0.3815</v>
      </c>
      <c r="J173" s="13">
        <v>194.626259594061</v>
      </c>
      <c r="K173" s="13">
        <v>149.083819638345</v>
      </c>
      <c r="L173" s="13">
        <v>121.372892322486</v>
      </c>
      <c r="M173" s="13">
        <v>302.599763777684</v>
      </c>
      <c r="N173" s="13">
        <v>1335.89966710898</v>
      </c>
      <c r="O173" s="13">
        <v>434.329112719485</v>
      </c>
      <c r="P173" s="13">
        <v>63627.9718336639</v>
      </c>
      <c r="Q173" s="26">
        <v>0.0045</v>
      </c>
      <c r="R173" s="18">
        <v>1.03145458114997</v>
      </c>
      <c r="S173" s="18">
        <v>0.092867284171976</v>
      </c>
      <c r="T173" s="18">
        <v>0.13354679692982</v>
      </c>
      <c r="U173" s="13">
        <v>52.3790723785518</v>
      </c>
      <c r="V173" s="25">
        <v>0.0065</v>
      </c>
      <c r="W173" s="25">
        <v>0.0085</v>
      </c>
      <c r="X173" s="18">
        <v>0.387900406752759</v>
      </c>
      <c r="Y173" s="18">
        <v>0.042921218067584</v>
      </c>
      <c r="Z173" s="18">
        <v>5.88893556429044</v>
      </c>
    </row>
    <row r="174" s="1" customFormat="1" ht="12.75" spans="1:26">
      <c r="A174" s="7"/>
      <c r="B174" s="7"/>
      <c r="C174" s="7"/>
      <c r="D174" s="7" t="s">
        <v>275</v>
      </c>
      <c r="E174" s="7">
        <v>2</v>
      </c>
      <c r="F174" s="13">
        <v>17928.6445327769</v>
      </c>
      <c r="G174" s="13">
        <v>411812.453711135</v>
      </c>
      <c r="H174" s="13">
        <v>0.35069110303462</v>
      </c>
      <c r="I174" s="18">
        <v>0.3815</v>
      </c>
      <c r="J174" s="13">
        <v>178.378770482466</v>
      </c>
      <c r="K174" s="13">
        <v>174.766699468026</v>
      </c>
      <c r="L174" s="13">
        <v>142.2503549171</v>
      </c>
      <c r="M174" s="13">
        <v>527.088077173438</v>
      </c>
      <c r="N174" s="13">
        <v>2194.12763727766</v>
      </c>
      <c r="O174" s="13">
        <v>350.434542363558</v>
      </c>
      <c r="P174" s="13">
        <v>61592.1645769275</v>
      </c>
      <c r="Q174" s="26">
        <v>0.0045</v>
      </c>
      <c r="R174" s="18">
        <v>2.55820344692546</v>
      </c>
      <c r="S174" s="18">
        <v>0.078</v>
      </c>
      <c r="T174" s="18">
        <v>0.100639709396066</v>
      </c>
      <c r="U174" s="13">
        <v>39.5052018439294</v>
      </c>
      <c r="V174" s="18">
        <v>0.025147969483021</v>
      </c>
      <c r="W174" s="25">
        <v>0.008</v>
      </c>
      <c r="X174" s="18">
        <v>0.818844243156088</v>
      </c>
      <c r="Y174" s="18">
        <v>0.211314626933462</v>
      </c>
      <c r="Z174" s="18">
        <v>7.44230883316273</v>
      </c>
    </row>
    <row r="175" s="1" customFormat="1" ht="12.75" spans="1:26">
      <c r="A175" s="7"/>
      <c r="B175" s="7"/>
      <c r="C175" s="7"/>
      <c r="D175" s="7" t="s">
        <v>275</v>
      </c>
      <c r="E175" s="7">
        <v>3</v>
      </c>
      <c r="F175" s="13">
        <v>16509.2313266527</v>
      </c>
      <c r="G175" s="13">
        <v>386982.442316425</v>
      </c>
      <c r="H175" s="13">
        <v>1.00740843803538</v>
      </c>
      <c r="I175" s="18">
        <v>0.3815</v>
      </c>
      <c r="J175" s="13">
        <v>137.067700607994</v>
      </c>
      <c r="K175" s="13">
        <v>84.639517896975</v>
      </c>
      <c r="L175" s="13">
        <v>109.156901773468</v>
      </c>
      <c r="M175" s="13">
        <v>429.938548938435</v>
      </c>
      <c r="N175" s="13">
        <v>1504.60903238138</v>
      </c>
      <c r="O175" s="13">
        <v>136.090205557322</v>
      </c>
      <c r="P175" s="13">
        <v>73763.6581541065</v>
      </c>
      <c r="Q175" s="26">
        <v>0.0045</v>
      </c>
      <c r="R175" s="18">
        <v>3.82427615096319</v>
      </c>
      <c r="S175" s="18">
        <v>0.078</v>
      </c>
      <c r="T175" s="18">
        <v>0.190829197965726</v>
      </c>
      <c r="U175" s="13">
        <v>40.1638524852848</v>
      </c>
      <c r="V175" s="25">
        <v>0.0065</v>
      </c>
      <c r="W175" s="25">
        <v>0.008</v>
      </c>
      <c r="X175" s="18">
        <v>0.976758810049474</v>
      </c>
      <c r="Y175" s="18">
        <v>0.175673174586643</v>
      </c>
      <c r="Z175" s="18">
        <v>16.6178001517404</v>
      </c>
    </row>
    <row r="176" s="1" customFormat="1" ht="12.75" spans="1:26">
      <c r="A176" s="7"/>
      <c r="B176" s="7"/>
      <c r="C176" s="7"/>
      <c r="D176" s="7" t="s">
        <v>275</v>
      </c>
      <c r="E176" s="7">
        <v>4</v>
      </c>
      <c r="F176" s="13">
        <v>15905.6586285311</v>
      </c>
      <c r="G176" s="13">
        <v>372364.558856375</v>
      </c>
      <c r="H176" s="13">
        <v>0.802830318987639</v>
      </c>
      <c r="I176" s="18">
        <v>0.3815</v>
      </c>
      <c r="J176" s="13">
        <v>157.621356978158</v>
      </c>
      <c r="K176" s="13">
        <v>126.978931664241</v>
      </c>
      <c r="L176" s="13">
        <v>126.288022951724</v>
      </c>
      <c r="M176" s="13">
        <v>387.927585033114</v>
      </c>
      <c r="N176" s="13">
        <v>1580.70191483288</v>
      </c>
      <c r="O176" s="13">
        <v>282.83766116359</v>
      </c>
      <c r="P176" s="13">
        <v>79256.4736778095</v>
      </c>
      <c r="Q176" s="26">
        <v>0.0045</v>
      </c>
      <c r="R176" s="18">
        <v>1.66676346239666</v>
      </c>
      <c r="S176" s="18">
        <v>0.078</v>
      </c>
      <c r="T176" s="18">
        <v>0.078153280074414</v>
      </c>
      <c r="U176" s="13">
        <v>44.8025708759629</v>
      </c>
      <c r="V176" s="25">
        <v>0.009</v>
      </c>
      <c r="W176" s="18">
        <v>0.037612155564532</v>
      </c>
      <c r="X176" s="18">
        <v>0.784222935763853</v>
      </c>
      <c r="Y176" s="18">
        <v>0.103432571527097</v>
      </c>
      <c r="Z176" s="18">
        <v>7.06792770413479</v>
      </c>
    </row>
    <row r="177" s="1" customFormat="1" ht="12.75" spans="1:26">
      <c r="A177" s="7"/>
      <c r="B177" s="7"/>
      <c r="C177" s="7"/>
      <c r="D177" s="7" t="s">
        <v>275</v>
      </c>
      <c r="E177" s="7">
        <v>5</v>
      </c>
      <c r="F177" s="13">
        <v>15185.2942842541</v>
      </c>
      <c r="G177" s="13">
        <v>383782.802452581</v>
      </c>
      <c r="H177" s="13">
        <v>0.918074582916644</v>
      </c>
      <c r="I177" s="18">
        <v>0.3815</v>
      </c>
      <c r="J177" s="13">
        <v>147.932439223051</v>
      </c>
      <c r="K177" s="13">
        <v>31</v>
      </c>
      <c r="L177" s="13">
        <v>171.42500708095</v>
      </c>
      <c r="M177" s="13">
        <v>288.221186290299</v>
      </c>
      <c r="N177" s="13">
        <v>1635.43665709936</v>
      </c>
      <c r="O177" s="13">
        <v>507.856580574254</v>
      </c>
      <c r="P177" s="13">
        <v>95496.6283861031</v>
      </c>
      <c r="Q177" s="26">
        <v>0.0045</v>
      </c>
      <c r="R177" s="18">
        <v>0.716404918220251</v>
      </c>
      <c r="S177" s="18">
        <v>0.078</v>
      </c>
      <c r="T177" s="18">
        <v>0.095773470107518</v>
      </c>
      <c r="U177" s="13">
        <v>41.9590674960602</v>
      </c>
      <c r="V177" s="25">
        <v>0.007</v>
      </c>
      <c r="W177" s="25">
        <v>0.0085</v>
      </c>
      <c r="X177" s="18">
        <v>1.0587173866086</v>
      </c>
      <c r="Y177" s="18">
        <v>0.026933876046861</v>
      </c>
      <c r="Z177" s="18">
        <v>1.33424636306989</v>
      </c>
    </row>
    <row r="178" s="1" customFormat="1" ht="12.75" spans="1:26">
      <c r="A178" s="7"/>
      <c r="B178" s="7"/>
      <c r="C178" s="7"/>
      <c r="D178" s="7" t="s">
        <v>275</v>
      </c>
      <c r="E178" s="7">
        <v>6</v>
      </c>
      <c r="F178" s="13">
        <v>16571.7661299389</v>
      </c>
      <c r="G178" s="13">
        <v>363598.927488441</v>
      </c>
      <c r="H178" s="13">
        <v>0.218236656442892</v>
      </c>
      <c r="I178" s="18">
        <v>0.3815</v>
      </c>
      <c r="J178" s="13">
        <v>154.251796872301</v>
      </c>
      <c r="K178" s="13">
        <v>97.2554386376</v>
      </c>
      <c r="L178" s="13">
        <v>109.866859590716</v>
      </c>
      <c r="M178" s="13">
        <v>337.028259236198</v>
      </c>
      <c r="N178" s="13">
        <v>1809.9503575814</v>
      </c>
      <c r="O178" s="13">
        <v>1087.878898208</v>
      </c>
      <c r="P178" s="13">
        <v>74487.717811541</v>
      </c>
      <c r="Q178" s="26">
        <v>0.0045</v>
      </c>
      <c r="R178" s="18">
        <v>0.532009235916005</v>
      </c>
      <c r="S178" s="18">
        <v>0.078</v>
      </c>
      <c r="T178" s="18">
        <v>0.168255357843416</v>
      </c>
      <c r="U178" s="13">
        <v>49.9512013646405</v>
      </c>
      <c r="V178" s="25">
        <v>0.004</v>
      </c>
      <c r="W178" s="18">
        <v>0.035616593327307</v>
      </c>
      <c r="X178" s="18">
        <v>0.398582946456557</v>
      </c>
      <c r="Y178" s="18">
        <v>0.013987700761066</v>
      </c>
      <c r="Z178" s="18">
        <v>2.24048674849233</v>
      </c>
    </row>
    <row r="179" s="1" customFormat="1" ht="12.75" spans="1:26">
      <c r="A179" s="7"/>
      <c r="B179" s="32" t="s">
        <v>280</v>
      </c>
      <c r="C179" s="32" t="s">
        <v>273</v>
      </c>
      <c r="D179" s="32" t="s">
        <v>283</v>
      </c>
      <c r="E179" s="32"/>
      <c r="F179" s="40">
        <f>AVERAGE(F173:F178)</f>
        <v>16272.8471289384</v>
      </c>
      <c r="G179" s="40">
        <f t="shared" ref="G179:Z179" si="8">AVERAGE(G173:G178)</f>
        <v>381558.819083009</v>
      </c>
      <c r="H179" s="40">
        <f t="shared" si="8"/>
        <v>1.069252149906</v>
      </c>
      <c r="I179" s="40">
        <f t="shared" si="8"/>
        <v>0.3815</v>
      </c>
      <c r="J179" s="40">
        <f t="shared" si="8"/>
        <v>161.646387293005</v>
      </c>
      <c r="K179" s="40">
        <f t="shared" si="8"/>
        <v>110.620734550864</v>
      </c>
      <c r="L179" s="40">
        <f t="shared" si="8"/>
        <v>130.060006439407</v>
      </c>
      <c r="M179" s="40">
        <f t="shared" si="8"/>
        <v>378.800570074861</v>
      </c>
      <c r="N179" s="40">
        <f t="shared" si="8"/>
        <v>1676.78754438028</v>
      </c>
      <c r="O179" s="40">
        <f t="shared" si="8"/>
        <v>466.571166764368</v>
      </c>
      <c r="P179" s="40">
        <f t="shared" si="8"/>
        <v>74704.1024066919</v>
      </c>
      <c r="Q179" s="40">
        <f t="shared" si="8"/>
        <v>0.0045</v>
      </c>
      <c r="R179" s="40">
        <f t="shared" si="8"/>
        <v>1.72151863259526</v>
      </c>
      <c r="S179" s="40">
        <f t="shared" si="8"/>
        <v>0.0804778806953293</v>
      </c>
      <c r="T179" s="40">
        <f t="shared" si="8"/>
        <v>0.127866302052827</v>
      </c>
      <c r="U179" s="40">
        <f t="shared" si="8"/>
        <v>44.7934944074049</v>
      </c>
      <c r="V179" s="40">
        <f t="shared" si="8"/>
        <v>0.00969132824717017</v>
      </c>
      <c r="W179" s="40">
        <f t="shared" si="8"/>
        <v>0.0177047914819732</v>
      </c>
      <c r="X179" s="40">
        <f t="shared" si="8"/>
        <v>0.737504454797889</v>
      </c>
      <c r="Y179" s="40">
        <f t="shared" si="8"/>
        <v>0.0957105279871189</v>
      </c>
      <c r="Z179" s="40">
        <f t="shared" si="8"/>
        <v>6.76528422748176</v>
      </c>
    </row>
    <row r="180" s="1" customFormat="1" ht="12.75" spans="1:26">
      <c r="A180" s="7"/>
      <c r="B180" s="7" t="s">
        <v>281</v>
      </c>
      <c r="C180" s="7" t="s">
        <v>273</v>
      </c>
      <c r="D180" s="7" t="s">
        <v>275</v>
      </c>
      <c r="E180" s="7">
        <v>1</v>
      </c>
      <c r="F180" s="13">
        <v>16215.5805624867</v>
      </c>
      <c r="G180" s="13">
        <v>386173.6998722</v>
      </c>
      <c r="H180" s="13">
        <v>1.25703828117117</v>
      </c>
      <c r="I180" s="18">
        <v>0.3815</v>
      </c>
      <c r="J180" s="13">
        <v>70.861929587928</v>
      </c>
      <c r="K180" s="13">
        <v>68.729731459711</v>
      </c>
      <c r="L180" s="13">
        <v>52.966249453187</v>
      </c>
      <c r="M180" s="13">
        <v>359.999145621758</v>
      </c>
      <c r="N180" s="13">
        <v>1281.58633111552</v>
      </c>
      <c r="O180" s="13">
        <v>1541.82081068446</v>
      </c>
      <c r="P180" s="13">
        <v>89023.1382601791</v>
      </c>
      <c r="Q180" s="26">
        <v>0.0045</v>
      </c>
      <c r="R180" s="18">
        <v>4.13870783316811</v>
      </c>
      <c r="S180" s="18">
        <v>0.078</v>
      </c>
      <c r="T180" s="18">
        <v>0.210616305503017</v>
      </c>
      <c r="U180" s="13">
        <v>44.8635319932569</v>
      </c>
      <c r="V180" s="25">
        <v>0.0075</v>
      </c>
      <c r="W180" s="25">
        <v>0.009</v>
      </c>
      <c r="X180" s="18">
        <v>0.235431678460828</v>
      </c>
      <c r="Y180" s="18">
        <v>0.025100004622473</v>
      </c>
      <c r="Z180" s="18">
        <v>0.931490982377153</v>
      </c>
    </row>
    <row r="181" s="1" customFormat="1" ht="12.75" spans="1:26">
      <c r="A181" s="7"/>
      <c r="B181" s="7"/>
      <c r="C181" s="7"/>
      <c r="D181" s="7" t="s">
        <v>275</v>
      </c>
      <c r="E181" s="7">
        <v>2</v>
      </c>
      <c r="F181" s="13">
        <v>15542.9534377706</v>
      </c>
      <c r="G181" s="13">
        <v>361520.945275073</v>
      </c>
      <c r="H181" s="13">
        <v>0.465614231240744</v>
      </c>
      <c r="I181" s="18">
        <v>0.3815</v>
      </c>
      <c r="J181" s="13">
        <v>97.617281223589</v>
      </c>
      <c r="K181" s="13">
        <v>31</v>
      </c>
      <c r="L181" s="13">
        <v>57.871290514</v>
      </c>
      <c r="M181" s="13">
        <v>210.985601777507</v>
      </c>
      <c r="N181" s="13">
        <v>1289.2402128115</v>
      </c>
      <c r="O181" s="13">
        <v>1011.65216156347</v>
      </c>
      <c r="P181" s="13">
        <v>41983.35467431</v>
      </c>
      <c r="Q181" s="26">
        <v>0.0045</v>
      </c>
      <c r="R181" s="18">
        <v>0.751869129100594</v>
      </c>
      <c r="S181" s="18">
        <v>0.078</v>
      </c>
      <c r="T181" s="18">
        <v>0.116585920138451</v>
      </c>
      <c r="U181" s="13">
        <v>39.1937121038579</v>
      </c>
      <c r="V181" s="25">
        <v>0.0065</v>
      </c>
      <c r="W181" s="25">
        <v>0.008</v>
      </c>
      <c r="X181" s="18">
        <v>0.44944914585407</v>
      </c>
      <c r="Y181" s="18">
        <v>0.009458395102062</v>
      </c>
      <c r="Z181" s="18">
        <v>0.096279858974054</v>
      </c>
    </row>
    <row r="182" s="1" customFormat="1" ht="12.75" spans="1:26">
      <c r="A182" s="7"/>
      <c r="B182" s="7"/>
      <c r="C182" s="7"/>
      <c r="D182" s="7" t="s">
        <v>275</v>
      </c>
      <c r="E182" s="7">
        <v>3</v>
      </c>
      <c r="F182" s="13">
        <v>17641.3720471157</v>
      </c>
      <c r="G182" s="13">
        <v>373804.128879093</v>
      </c>
      <c r="H182" s="13">
        <v>0.97126917731728</v>
      </c>
      <c r="I182" s="18">
        <v>0.3815</v>
      </c>
      <c r="J182" s="13">
        <v>125.308020156301</v>
      </c>
      <c r="K182" s="13">
        <v>118.254939414405</v>
      </c>
      <c r="L182" s="13">
        <v>71.988958314904</v>
      </c>
      <c r="M182" s="13">
        <v>277.501984855465</v>
      </c>
      <c r="N182" s="13">
        <v>1300.8891450257</v>
      </c>
      <c r="O182" s="13">
        <v>1100.63575858619</v>
      </c>
      <c r="P182" s="13">
        <v>85224.5559255217</v>
      </c>
      <c r="Q182" s="26">
        <v>0.0045</v>
      </c>
      <c r="R182" s="18">
        <v>3.78305485440989</v>
      </c>
      <c r="S182" s="18">
        <v>0.078</v>
      </c>
      <c r="T182" s="18">
        <v>0.091506292955315</v>
      </c>
      <c r="U182" s="13">
        <v>41.5400877342346</v>
      </c>
      <c r="V182" s="18">
        <v>0.021303656352166</v>
      </c>
      <c r="W182" s="25">
        <v>0.008</v>
      </c>
      <c r="X182" s="18">
        <v>0.224507481941401</v>
      </c>
      <c r="Y182" s="18">
        <v>0.03605130200416</v>
      </c>
      <c r="Z182" s="18">
        <v>1.37326595215472</v>
      </c>
    </row>
    <row r="183" s="1" customFormat="1" ht="12.75" spans="1:26">
      <c r="A183" s="7"/>
      <c r="B183" s="7"/>
      <c r="C183" s="7"/>
      <c r="D183" s="7" t="s">
        <v>275</v>
      </c>
      <c r="E183" s="7">
        <v>4</v>
      </c>
      <c r="F183" s="13">
        <v>16110.8759469145</v>
      </c>
      <c r="G183" s="13">
        <v>385891.093730717</v>
      </c>
      <c r="H183" s="13">
        <v>1.13756382751163</v>
      </c>
      <c r="I183" s="18">
        <v>0.3815</v>
      </c>
      <c r="J183" s="13">
        <v>92.625376336678</v>
      </c>
      <c r="K183" s="13">
        <v>98.510877331078</v>
      </c>
      <c r="L183" s="13">
        <v>62.045946473917</v>
      </c>
      <c r="M183" s="13">
        <v>237.543760550284</v>
      </c>
      <c r="N183" s="13">
        <v>1484.2602160207</v>
      </c>
      <c r="O183" s="13">
        <v>1267.52677000653</v>
      </c>
      <c r="P183" s="13">
        <v>87953.4907941285</v>
      </c>
      <c r="Q183" s="26">
        <v>0.0045</v>
      </c>
      <c r="R183" s="18">
        <v>2.11913503071985</v>
      </c>
      <c r="S183" s="18">
        <v>0.078</v>
      </c>
      <c r="T183" s="18">
        <v>0.099113715227801</v>
      </c>
      <c r="U183" s="13">
        <v>29.8015775489758</v>
      </c>
      <c r="V183" s="18">
        <v>0.078819563868175</v>
      </c>
      <c r="W183" s="25">
        <v>0.008</v>
      </c>
      <c r="X183" s="18">
        <v>0.488737003333822</v>
      </c>
      <c r="Y183" s="18">
        <v>0.070819266335476</v>
      </c>
      <c r="Z183" s="18">
        <v>2.2651659083445</v>
      </c>
    </row>
    <row r="184" s="1" customFormat="1" ht="12.75" spans="1:26">
      <c r="A184" s="7"/>
      <c r="B184" s="7"/>
      <c r="C184" s="7"/>
      <c r="D184" s="7" t="s">
        <v>275</v>
      </c>
      <c r="E184" s="7">
        <v>5</v>
      </c>
      <c r="F184" s="13">
        <v>16193.744021237</v>
      </c>
      <c r="G184" s="13">
        <v>382476.998856995</v>
      </c>
      <c r="H184" s="13">
        <v>0.748076439653738</v>
      </c>
      <c r="I184" s="18">
        <v>0.3815</v>
      </c>
      <c r="J184" s="13">
        <v>143.580512194</v>
      </c>
      <c r="K184" s="13">
        <v>107.457765226501</v>
      </c>
      <c r="L184" s="13">
        <v>50.353222845923</v>
      </c>
      <c r="M184" s="13">
        <v>223.251141759754</v>
      </c>
      <c r="N184" s="13">
        <v>1331.32128029314</v>
      </c>
      <c r="O184" s="13">
        <v>2299.58967228831</v>
      </c>
      <c r="P184" s="13">
        <v>97421.1222354991</v>
      </c>
      <c r="Q184" s="24">
        <v>0.046877588190569</v>
      </c>
      <c r="R184" s="18">
        <v>0.813918897179127</v>
      </c>
      <c r="S184" s="18">
        <v>0.078</v>
      </c>
      <c r="T184" s="18">
        <v>0.034397728795811</v>
      </c>
      <c r="U184" s="13">
        <v>39.021007980635</v>
      </c>
      <c r="V184" s="25">
        <v>0.0065</v>
      </c>
      <c r="W184" s="25">
        <v>0.008</v>
      </c>
      <c r="X184" s="18">
        <v>0.579650687033628</v>
      </c>
      <c r="Y184" s="18">
        <v>0.081000060293069</v>
      </c>
      <c r="Z184" s="18">
        <v>2.33112232674312</v>
      </c>
    </row>
    <row r="185" s="1" customFormat="1" ht="12.75" spans="1:26">
      <c r="A185" s="7"/>
      <c r="B185" s="7"/>
      <c r="C185" s="7"/>
      <c r="D185" s="7" t="s">
        <v>275</v>
      </c>
      <c r="E185" s="7">
        <v>6</v>
      </c>
      <c r="F185" s="13">
        <v>14642.3248942302</v>
      </c>
      <c r="G185" s="13">
        <v>334514.436749393</v>
      </c>
      <c r="H185" s="13">
        <v>0.266982173540701</v>
      </c>
      <c r="I185" s="18">
        <v>0.3815</v>
      </c>
      <c r="J185" s="13">
        <v>77.276112689336</v>
      </c>
      <c r="K185" s="13">
        <v>31</v>
      </c>
      <c r="L185" s="13">
        <v>8.505453531724</v>
      </c>
      <c r="M185" s="13">
        <v>56.446417245967</v>
      </c>
      <c r="N185" s="13">
        <v>4.5</v>
      </c>
      <c r="O185" s="13">
        <v>1280.15939977933</v>
      </c>
      <c r="P185" s="13">
        <v>69360.0247381282</v>
      </c>
      <c r="Q185" s="26">
        <v>0.0045</v>
      </c>
      <c r="R185" s="18">
        <v>0.992882698599657</v>
      </c>
      <c r="S185" s="18">
        <v>0.085364299678775</v>
      </c>
      <c r="T185" s="18">
        <v>0.048105730126882</v>
      </c>
      <c r="U185" s="13">
        <v>36.5864308848617</v>
      </c>
      <c r="V185" s="18">
        <v>0.017033836076545</v>
      </c>
      <c r="W185" s="18">
        <v>0.03578556132277</v>
      </c>
      <c r="X185" s="18">
        <v>0.245644828516921</v>
      </c>
      <c r="Y185" s="18">
        <v>0.083093715098521</v>
      </c>
      <c r="Z185" s="18">
        <v>2.92383335145155</v>
      </c>
    </row>
    <row r="186" s="1" customFormat="1" ht="12.75" spans="1:26">
      <c r="A186" s="7"/>
      <c r="B186" s="7"/>
      <c r="C186" s="7"/>
      <c r="D186" s="7" t="s">
        <v>275</v>
      </c>
      <c r="E186" s="7">
        <v>7</v>
      </c>
      <c r="F186" s="13">
        <v>15507.847948532</v>
      </c>
      <c r="G186" s="13">
        <v>359690.29693</v>
      </c>
      <c r="H186" s="13">
        <v>1.40992214392406</v>
      </c>
      <c r="I186" s="18">
        <v>0.3815</v>
      </c>
      <c r="J186" s="13">
        <v>130</v>
      </c>
      <c r="K186" s="13">
        <v>31</v>
      </c>
      <c r="L186" s="13">
        <v>4</v>
      </c>
      <c r="M186" s="13">
        <v>295</v>
      </c>
      <c r="N186" s="13">
        <v>175</v>
      </c>
      <c r="O186" s="13">
        <v>2036</v>
      </c>
      <c r="P186" s="13">
        <v>68346</v>
      </c>
      <c r="Q186" s="26">
        <v>0.0045</v>
      </c>
      <c r="R186" s="25">
        <v>0.4325</v>
      </c>
      <c r="S186" s="18">
        <v>0.078</v>
      </c>
      <c r="T186" s="18">
        <v>0.256871643413347</v>
      </c>
      <c r="U186" s="13">
        <v>52.1096805257054</v>
      </c>
      <c r="V186" s="18">
        <v>0.15790154521854</v>
      </c>
      <c r="W186" s="25">
        <v>0.032</v>
      </c>
      <c r="X186" s="18">
        <v>1.165</v>
      </c>
      <c r="Y186" s="18">
        <v>0.318034078905123</v>
      </c>
      <c r="Z186" s="18">
        <v>13.0064694966306</v>
      </c>
    </row>
    <row r="187" s="1" customFormat="1" ht="12.75" spans="1:26">
      <c r="A187" s="7"/>
      <c r="B187" s="7"/>
      <c r="C187" s="7"/>
      <c r="D187" s="7" t="s">
        <v>275</v>
      </c>
      <c r="E187" s="7">
        <v>8</v>
      </c>
      <c r="F187" s="13">
        <v>17126.2344570212</v>
      </c>
      <c r="G187" s="13">
        <v>391915.787395618</v>
      </c>
      <c r="H187" s="13">
        <v>0.497897873242461</v>
      </c>
      <c r="I187" s="18">
        <v>0.3815</v>
      </c>
      <c r="J187" s="13">
        <v>50.250487527394</v>
      </c>
      <c r="K187" s="13">
        <v>31</v>
      </c>
      <c r="L187" s="13">
        <v>24.494065334598</v>
      </c>
      <c r="M187" s="13">
        <v>145.067856873923</v>
      </c>
      <c r="N187" s="13">
        <v>197.975979660983</v>
      </c>
      <c r="O187" s="13">
        <v>1586.97886458421</v>
      </c>
      <c r="P187" s="13">
        <v>51265.1013881074</v>
      </c>
      <c r="Q187" s="26">
        <v>0.0045</v>
      </c>
      <c r="R187" s="18">
        <v>1.55178834104276</v>
      </c>
      <c r="S187" s="18">
        <v>0.078</v>
      </c>
      <c r="T187" s="18">
        <v>0.217856890754489</v>
      </c>
      <c r="U187" s="13">
        <v>37.0067217493538</v>
      </c>
      <c r="V187" s="18">
        <v>0.059686000388552</v>
      </c>
      <c r="W187" s="25">
        <v>0.0085</v>
      </c>
      <c r="X187" s="18">
        <v>1.143</v>
      </c>
      <c r="Y187" s="18">
        <v>0.074561851130023</v>
      </c>
      <c r="Z187" s="18">
        <v>2.69488110224721</v>
      </c>
    </row>
    <row r="188" s="1" customFormat="1" ht="12.75" spans="1:26">
      <c r="A188" s="7"/>
      <c r="B188" s="32" t="s">
        <v>281</v>
      </c>
      <c r="C188" s="32" t="s">
        <v>273</v>
      </c>
      <c r="D188" s="32" t="s">
        <v>283</v>
      </c>
      <c r="E188" s="32"/>
      <c r="F188" s="40">
        <f>AVERAGE(F180:F187)</f>
        <v>16122.6166644135</v>
      </c>
      <c r="G188" s="40">
        <f t="shared" ref="G188:Z188" si="9">AVERAGE(G180:G187)</f>
        <v>371998.423461136</v>
      </c>
      <c r="H188" s="40">
        <f t="shared" si="9"/>
        <v>0.844295518450223</v>
      </c>
      <c r="I188" s="40">
        <f t="shared" si="9"/>
        <v>0.3815</v>
      </c>
      <c r="J188" s="40">
        <f t="shared" si="9"/>
        <v>98.4399649644033</v>
      </c>
      <c r="K188" s="40">
        <f t="shared" si="9"/>
        <v>64.6191641789619</v>
      </c>
      <c r="L188" s="40">
        <f t="shared" si="9"/>
        <v>41.5281483085316</v>
      </c>
      <c r="M188" s="40">
        <f t="shared" si="9"/>
        <v>225.724488585582</v>
      </c>
      <c r="N188" s="40">
        <f t="shared" si="9"/>
        <v>883.096645615943</v>
      </c>
      <c r="O188" s="40">
        <f t="shared" si="9"/>
        <v>1515.54542968656</v>
      </c>
      <c r="P188" s="40">
        <f t="shared" si="9"/>
        <v>73822.0985019842</v>
      </c>
      <c r="Q188" s="40">
        <f>AVERAGE(Q180:Q183,Q185:Q186,Q187)</f>
        <v>0.0045</v>
      </c>
      <c r="R188" s="40">
        <f t="shared" si="9"/>
        <v>1.8229820980275</v>
      </c>
      <c r="S188" s="40">
        <f t="shared" si="9"/>
        <v>0.0789205374598469</v>
      </c>
      <c r="T188" s="40">
        <f t="shared" si="9"/>
        <v>0.134381778364389</v>
      </c>
      <c r="U188" s="40">
        <f t="shared" si="9"/>
        <v>40.0153438151101</v>
      </c>
      <c r="V188" s="40">
        <f t="shared" si="9"/>
        <v>0.0444055752379972</v>
      </c>
      <c r="W188" s="40">
        <f t="shared" si="9"/>
        <v>0.0146606951653463</v>
      </c>
      <c r="X188" s="40">
        <f t="shared" si="9"/>
        <v>0.566427603142584</v>
      </c>
      <c r="Y188" s="40">
        <f t="shared" si="9"/>
        <v>0.0872648341863634</v>
      </c>
      <c r="Z188" s="40">
        <f t="shared" si="9"/>
        <v>3.20281362236536</v>
      </c>
    </row>
    <row r="189" s="1" customFormat="1" ht="12.75" spans="1:26">
      <c r="A189" s="7"/>
      <c r="B189" s="7" t="s">
        <v>282</v>
      </c>
      <c r="C189" s="7" t="s">
        <v>273</v>
      </c>
      <c r="D189" s="7" t="s">
        <v>275</v>
      </c>
      <c r="E189" s="7">
        <v>1</v>
      </c>
      <c r="F189" s="13">
        <v>20787.5232403509</v>
      </c>
      <c r="G189" s="13">
        <v>359255.475125459</v>
      </c>
      <c r="H189" s="13">
        <v>1.20511379223818</v>
      </c>
      <c r="I189" s="18">
        <v>0.3815</v>
      </c>
      <c r="J189" s="13">
        <v>238.420826997457</v>
      </c>
      <c r="K189" s="13">
        <v>284.98045364216</v>
      </c>
      <c r="L189" s="13">
        <v>293.785969329068</v>
      </c>
      <c r="M189" s="13">
        <v>1861.89854493053</v>
      </c>
      <c r="N189" s="13">
        <v>2332.86176772492</v>
      </c>
      <c r="O189" s="13">
        <v>62.284314457057</v>
      </c>
      <c r="P189" s="13">
        <v>31413.1660858244</v>
      </c>
      <c r="Q189" s="26">
        <v>0.0045</v>
      </c>
      <c r="R189" s="18">
        <v>2.07654659901988</v>
      </c>
      <c r="S189" s="18">
        <v>0.078</v>
      </c>
      <c r="T189" s="18">
        <v>0.262851851237431</v>
      </c>
      <c r="U189" s="13">
        <v>30.8184857478403</v>
      </c>
      <c r="V189" s="18">
        <v>0.020114792098932</v>
      </c>
      <c r="W189" s="25">
        <v>0.0065</v>
      </c>
      <c r="X189" s="18">
        <v>0.731</v>
      </c>
      <c r="Y189" s="18">
        <v>0.045980790767445</v>
      </c>
      <c r="Z189" s="18">
        <v>17.0909743891026</v>
      </c>
    </row>
    <row r="190" s="1" customFormat="1" ht="12.75" spans="1:26">
      <c r="A190" s="7"/>
      <c r="B190" s="7"/>
      <c r="C190" s="7"/>
      <c r="D190" s="7" t="s">
        <v>275</v>
      </c>
      <c r="E190" s="7">
        <v>2</v>
      </c>
      <c r="F190" s="13">
        <v>19734.8128389431</v>
      </c>
      <c r="G190" s="13">
        <v>368722.217174027</v>
      </c>
      <c r="H190" s="13">
        <v>46.4329977264369</v>
      </c>
      <c r="I190" s="18">
        <v>0.3815</v>
      </c>
      <c r="J190" s="13">
        <v>354.038026876335</v>
      </c>
      <c r="K190" s="13">
        <v>258.496080998469</v>
      </c>
      <c r="L190" s="13">
        <v>371.084700499233</v>
      </c>
      <c r="M190" s="13">
        <v>1394.53553449566</v>
      </c>
      <c r="N190" s="13">
        <v>2052.1716361075</v>
      </c>
      <c r="O190" s="13">
        <v>79.427356004618</v>
      </c>
      <c r="P190" s="13">
        <v>49024.8827065021</v>
      </c>
      <c r="Q190" s="26">
        <v>0.0045</v>
      </c>
      <c r="R190" s="18">
        <v>0.704960906180307</v>
      </c>
      <c r="S190" s="18">
        <v>0.078</v>
      </c>
      <c r="T190" s="18">
        <v>0.142983055619513</v>
      </c>
      <c r="U190" s="13">
        <v>30.9745183915543</v>
      </c>
      <c r="V190" s="25">
        <v>0.0055</v>
      </c>
      <c r="W190" s="25">
        <v>0.0065</v>
      </c>
      <c r="X190" s="18">
        <v>0.714223628399706</v>
      </c>
      <c r="Y190" s="18">
        <v>0.039223554633669</v>
      </c>
      <c r="Z190" s="18">
        <v>3.65838857127948</v>
      </c>
    </row>
    <row r="191" s="1" customFormat="1" ht="12.75" spans="1:26">
      <c r="A191" s="7"/>
      <c r="B191" s="7"/>
      <c r="C191" s="7"/>
      <c r="D191" s="7" t="s">
        <v>275</v>
      </c>
      <c r="E191" s="7">
        <v>3</v>
      </c>
      <c r="F191" s="13">
        <v>17843.8067699713</v>
      </c>
      <c r="G191" s="13">
        <v>366163.999058697</v>
      </c>
      <c r="H191" s="13">
        <v>37.9485576560342</v>
      </c>
      <c r="I191" s="18">
        <v>1.33426352849331</v>
      </c>
      <c r="J191" s="13">
        <v>6</v>
      </c>
      <c r="K191" s="13">
        <v>31</v>
      </c>
      <c r="L191" s="13">
        <v>4</v>
      </c>
      <c r="M191" s="13">
        <v>34.01674410905</v>
      </c>
      <c r="N191" s="13">
        <v>4.5</v>
      </c>
      <c r="O191" s="13">
        <v>132.049809524465</v>
      </c>
      <c r="P191" s="13">
        <v>29720.5565444244</v>
      </c>
      <c r="Q191" s="24">
        <v>0.040437062907554</v>
      </c>
      <c r="R191" s="18">
        <v>0.79098441364019</v>
      </c>
      <c r="S191" s="18">
        <v>0.078</v>
      </c>
      <c r="T191" s="18">
        <v>0.473927340791466</v>
      </c>
      <c r="U191" s="13">
        <v>49.1469574386491</v>
      </c>
      <c r="V191" s="18">
        <v>0.045056013849379</v>
      </c>
      <c r="W191" s="18">
        <v>0.023774913977312</v>
      </c>
      <c r="X191" s="18">
        <v>0.66546489317634</v>
      </c>
      <c r="Y191" s="18">
        <v>0.069190050977833</v>
      </c>
      <c r="Z191" s="18">
        <v>3.46556951509586</v>
      </c>
    </row>
    <row r="192" s="1" customFormat="1" ht="12.75" spans="1:26">
      <c r="A192" s="7"/>
      <c r="B192" s="7"/>
      <c r="C192" s="7"/>
      <c r="D192" s="7" t="s">
        <v>275</v>
      </c>
      <c r="E192" s="7">
        <v>4</v>
      </c>
      <c r="F192" s="13">
        <v>14669.3246842723</v>
      </c>
      <c r="G192" s="13">
        <v>360023.918788285</v>
      </c>
      <c r="H192" s="19">
        <v>38392.125608985</v>
      </c>
      <c r="I192" s="18">
        <v>487.472160877194</v>
      </c>
      <c r="J192" s="13">
        <v>249.542540767667</v>
      </c>
      <c r="K192" s="13">
        <v>255.72739037356</v>
      </c>
      <c r="L192" s="13">
        <v>287.68889710898</v>
      </c>
      <c r="M192" s="13">
        <v>1696.37635893574</v>
      </c>
      <c r="N192" s="13">
        <v>309.221837009615</v>
      </c>
      <c r="O192" s="13">
        <v>190.219528015791</v>
      </c>
      <c r="P192" s="13">
        <v>25828.5702531515</v>
      </c>
      <c r="Q192" s="26">
        <v>0.0045</v>
      </c>
      <c r="R192" s="18">
        <v>4.11612954326892</v>
      </c>
      <c r="S192" s="18">
        <v>1.47524194071222</v>
      </c>
      <c r="T192" s="18">
        <v>0.381787409632378</v>
      </c>
      <c r="U192" s="13">
        <v>28.3120972210701</v>
      </c>
      <c r="V192" s="18">
        <v>0.146191218233696</v>
      </c>
      <c r="W192" s="18">
        <v>0.083730022024935</v>
      </c>
      <c r="X192" s="18">
        <v>0.719718214323912</v>
      </c>
      <c r="Y192" s="18">
        <v>0.130277247426761</v>
      </c>
      <c r="Z192" s="18">
        <v>21.8625125028585</v>
      </c>
    </row>
    <row r="193" s="1" customFormat="1" ht="12.75" spans="1:26">
      <c r="A193" s="7"/>
      <c r="B193" s="7"/>
      <c r="C193" s="7"/>
      <c r="D193" s="7" t="s">
        <v>275</v>
      </c>
      <c r="E193" s="7">
        <v>5</v>
      </c>
      <c r="F193" s="13">
        <v>14235.2235958719</v>
      </c>
      <c r="G193" s="13">
        <v>386054.160801735</v>
      </c>
      <c r="H193" s="19">
        <v>3531.06810899029</v>
      </c>
      <c r="I193" s="18">
        <v>835.751090477706</v>
      </c>
      <c r="J193" s="13">
        <v>6</v>
      </c>
      <c r="K193" s="13">
        <v>31</v>
      </c>
      <c r="L193" s="13">
        <v>4</v>
      </c>
      <c r="M193" s="13">
        <v>143.814957579878</v>
      </c>
      <c r="N193" s="13">
        <v>4.5</v>
      </c>
      <c r="O193" s="13">
        <v>7.5</v>
      </c>
      <c r="P193" s="13">
        <v>23208.6983221944</v>
      </c>
      <c r="Q193" s="26">
        <v>0.0045</v>
      </c>
      <c r="R193" s="18">
        <v>2.35688344202935</v>
      </c>
      <c r="S193" s="18">
        <v>2.66479886320026</v>
      </c>
      <c r="T193" s="25">
        <v>0.0545</v>
      </c>
      <c r="U193" s="13">
        <v>39.5704385572398</v>
      </c>
      <c r="V193" s="18">
        <v>0.338685605016359</v>
      </c>
      <c r="W193" s="25">
        <v>0.012</v>
      </c>
      <c r="X193" s="18">
        <v>1.86760299086049</v>
      </c>
      <c r="Y193" s="18">
        <v>0.011055930301765</v>
      </c>
      <c r="Z193" s="18">
        <v>5.5896823412462</v>
      </c>
    </row>
    <row r="194" s="1" customFormat="1" ht="12.75" spans="1:26">
      <c r="A194" s="7"/>
      <c r="B194" s="7"/>
      <c r="C194" s="7"/>
      <c r="D194" s="7" t="s">
        <v>275</v>
      </c>
      <c r="E194" s="7">
        <v>6</v>
      </c>
      <c r="F194" s="13">
        <v>20685.6053424127</v>
      </c>
      <c r="G194" s="13">
        <v>399405.295722324</v>
      </c>
      <c r="H194" s="13">
        <v>1.83542123953632</v>
      </c>
      <c r="I194" s="18">
        <v>0.3815</v>
      </c>
      <c r="J194" s="13">
        <v>233.153266505449</v>
      </c>
      <c r="K194" s="13">
        <v>301.63116791935</v>
      </c>
      <c r="L194" s="13">
        <v>301.789172524354</v>
      </c>
      <c r="M194" s="13">
        <v>2052.53744207065</v>
      </c>
      <c r="N194" s="13">
        <v>2644.5761350271</v>
      </c>
      <c r="O194" s="13">
        <v>27.409014176197</v>
      </c>
      <c r="P194" s="13">
        <v>34770.0505066</v>
      </c>
      <c r="Q194" s="26">
        <v>0.0045</v>
      </c>
      <c r="R194" s="18">
        <v>1.4316530865609</v>
      </c>
      <c r="S194" s="18">
        <v>0.078</v>
      </c>
      <c r="T194" s="18">
        <v>0.38609295964995</v>
      </c>
      <c r="U194" s="13">
        <v>27.1396849047987</v>
      </c>
      <c r="V194" s="18">
        <v>0.023192769044743</v>
      </c>
      <c r="W194" s="18">
        <v>0.017459370982832</v>
      </c>
      <c r="X194" s="25">
        <v>0.1015</v>
      </c>
      <c r="Y194" s="18">
        <v>0.020222696143683</v>
      </c>
      <c r="Z194" s="18">
        <v>9.46595580252012</v>
      </c>
    </row>
    <row r="195" s="1" customFormat="1" ht="12.75" spans="1:26">
      <c r="A195" s="7"/>
      <c r="B195" s="32" t="s">
        <v>282</v>
      </c>
      <c r="C195" s="32" t="s">
        <v>273</v>
      </c>
      <c r="D195" s="32" t="s">
        <v>283</v>
      </c>
      <c r="E195" s="32"/>
      <c r="F195" s="40">
        <f>AVERAGE(F189:F194)</f>
        <v>17992.716078637</v>
      </c>
      <c r="G195" s="40">
        <f t="shared" ref="G195:Z195" si="10">AVERAGE(G189:G194)</f>
        <v>373270.844445088</v>
      </c>
      <c r="H195" s="40">
        <f>AVERAGE(H189:H191,H194)</f>
        <v>21.8555226035614</v>
      </c>
      <c r="I195" s="40">
        <f t="shared" si="10"/>
        <v>220.950335813899</v>
      </c>
      <c r="J195" s="40">
        <f t="shared" si="10"/>
        <v>181.192443524485</v>
      </c>
      <c r="K195" s="40">
        <f t="shared" si="10"/>
        <v>193.805848822257</v>
      </c>
      <c r="L195" s="40">
        <f t="shared" si="10"/>
        <v>210.391456576939</v>
      </c>
      <c r="M195" s="40">
        <f t="shared" si="10"/>
        <v>1197.19659702025</v>
      </c>
      <c r="N195" s="40">
        <f t="shared" si="10"/>
        <v>1224.63856264486</v>
      </c>
      <c r="O195" s="40">
        <f t="shared" si="10"/>
        <v>83.148337029688</v>
      </c>
      <c r="P195" s="40">
        <f t="shared" si="10"/>
        <v>32327.6540697828</v>
      </c>
      <c r="Q195" s="40">
        <f>AVERAGE(Q189:Q190,Q192:Q194)</f>
        <v>0.0045</v>
      </c>
      <c r="R195" s="40">
        <f t="shared" si="10"/>
        <v>1.91285966511659</v>
      </c>
      <c r="S195" s="40">
        <f t="shared" si="10"/>
        <v>0.74200680065208</v>
      </c>
      <c r="T195" s="40">
        <f t="shared" si="10"/>
        <v>0.283690436155123</v>
      </c>
      <c r="U195" s="40">
        <f t="shared" si="10"/>
        <v>34.3270303768587</v>
      </c>
      <c r="V195" s="40">
        <f t="shared" si="10"/>
        <v>0.0964567330405182</v>
      </c>
      <c r="W195" s="40">
        <f t="shared" si="10"/>
        <v>0.0249940511641798</v>
      </c>
      <c r="X195" s="40">
        <f t="shared" si="10"/>
        <v>0.799918287793408</v>
      </c>
      <c r="Y195" s="40">
        <f t="shared" si="10"/>
        <v>0.0526583783751927</v>
      </c>
      <c r="Z195" s="40">
        <f t="shared" si="10"/>
        <v>10.1888471870171</v>
      </c>
    </row>
    <row r="196" s="1" customFormat="1" ht="12.75" spans="1:26">
      <c r="A196" s="7"/>
      <c r="B196" s="7" t="s">
        <v>277</v>
      </c>
      <c r="C196" s="7" t="s">
        <v>273</v>
      </c>
      <c r="D196" s="7" t="s">
        <v>276</v>
      </c>
      <c r="E196" s="7">
        <v>1</v>
      </c>
      <c r="F196" s="13">
        <v>0.155856682093252</v>
      </c>
      <c r="G196" s="13">
        <v>43.1861885560356</v>
      </c>
      <c r="H196" s="13">
        <v>329215.352694046</v>
      </c>
      <c r="I196" s="13">
        <v>172.459707334501</v>
      </c>
      <c r="J196" s="19">
        <v>98.544691020637</v>
      </c>
      <c r="K196" s="13">
        <v>124.832822299053</v>
      </c>
      <c r="L196" s="13">
        <v>4</v>
      </c>
      <c r="M196" s="13">
        <v>202.451430648483</v>
      </c>
      <c r="N196" s="13">
        <v>4.5</v>
      </c>
      <c r="O196" s="13">
        <v>128.820846266813</v>
      </c>
      <c r="P196" s="13">
        <v>60.6414657288242</v>
      </c>
      <c r="Q196" s="26">
        <v>0.0045</v>
      </c>
      <c r="R196" s="18">
        <v>0.691695307710171</v>
      </c>
      <c r="S196" s="18">
        <v>3.32503133204493</v>
      </c>
      <c r="T196" s="18">
        <v>0.040981331975289</v>
      </c>
      <c r="U196" s="13">
        <v>35.7664377943075</v>
      </c>
      <c r="V196" s="18">
        <v>0.055725767523394</v>
      </c>
      <c r="W196" s="18">
        <v>0.010906059227978</v>
      </c>
      <c r="X196" s="18">
        <v>0.155762022790783</v>
      </c>
      <c r="Y196" s="18">
        <v>0.110343544924093</v>
      </c>
      <c r="Z196" s="18">
        <v>3.6229938332465</v>
      </c>
    </row>
    <row r="197" s="1" customFormat="1" ht="12.75" spans="1:26">
      <c r="A197" s="7"/>
      <c r="B197" s="7"/>
      <c r="C197" s="7"/>
      <c r="D197" s="7" t="s">
        <v>276</v>
      </c>
      <c r="E197" s="7">
        <v>2</v>
      </c>
      <c r="F197" s="13">
        <v>0.417200163158819</v>
      </c>
      <c r="G197" s="13">
        <v>59.1157150604554</v>
      </c>
      <c r="H197" s="13">
        <v>333094.820092448</v>
      </c>
      <c r="I197" s="13">
        <v>914.489820367962</v>
      </c>
      <c r="J197" s="13">
        <v>6</v>
      </c>
      <c r="K197" s="13">
        <v>31</v>
      </c>
      <c r="L197" s="13">
        <v>4</v>
      </c>
      <c r="M197" s="13">
        <v>39.941734778011</v>
      </c>
      <c r="N197" s="13">
        <v>52</v>
      </c>
      <c r="O197" s="13">
        <v>193.868340325955</v>
      </c>
      <c r="P197" s="13">
        <v>250.977609601543</v>
      </c>
      <c r="Q197" s="26">
        <v>0.0045</v>
      </c>
      <c r="R197" s="18">
        <v>0.876313262778293</v>
      </c>
      <c r="S197" s="18">
        <v>9.43995188291395</v>
      </c>
      <c r="T197" s="18">
        <v>0.128272148867551</v>
      </c>
      <c r="U197" s="13">
        <v>47.0379603180858</v>
      </c>
      <c r="V197" s="18">
        <v>0.557575402962937</v>
      </c>
      <c r="W197" s="18">
        <v>0.0331993876044</v>
      </c>
      <c r="X197" s="18">
        <v>1.6459487001325</v>
      </c>
      <c r="Y197" s="18">
        <v>0.117155774450458</v>
      </c>
      <c r="Z197" s="18">
        <v>52.9730458715407</v>
      </c>
    </row>
    <row r="198" s="1" customFormat="1" ht="12.75" spans="1:26">
      <c r="A198" s="7"/>
      <c r="B198" s="7"/>
      <c r="C198" s="7"/>
      <c r="D198" s="7" t="s">
        <v>276</v>
      </c>
      <c r="E198" s="7">
        <v>3</v>
      </c>
      <c r="F198" s="13">
        <v>0.420783632144217</v>
      </c>
      <c r="G198" s="13">
        <v>56.7280154892737</v>
      </c>
      <c r="H198" s="13">
        <v>317322.647112826</v>
      </c>
      <c r="I198" s="13">
        <v>404.586437790229</v>
      </c>
      <c r="J198" s="13">
        <v>6</v>
      </c>
      <c r="K198" s="13">
        <v>31</v>
      </c>
      <c r="L198" s="13">
        <v>4</v>
      </c>
      <c r="M198" s="13">
        <v>76.976242357455</v>
      </c>
      <c r="N198" s="19">
        <v>107.087199973345</v>
      </c>
      <c r="O198" s="13">
        <v>92.520323558768</v>
      </c>
      <c r="P198" s="13">
        <v>92.5262488394872</v>
      </c>
      <c r="Q198" s="26">
        <v>0.0045</v>
      </c>
      <c r="R198" s="18">
        <v>0.662312743587737</v>
      </c>
      <c r="S198" s="18">
        <v>6.06843760835758</v>
      </c>
      <c r="T198" s="18">
        <v>0.074199820601614</v>
      </c>
      <c r="U198" s="13">
        <v>47.2861435085907</v>
      </c>
      <c r="V198" s="18">
        <v>1.15392440585173</v>
      </c>
      <c r="W198" s="18">
        <v>0.036372792987977</v>
      </c>
      <c r="X198" s="18">
        <v>0.651899143456425</v>
      </c>
      <c r="Y198" s="18">
        <v>0.048910219067365</v>
      </c>
      <c r="Z198" s="18">
        <v>84.7671922688446</v>
      </c>
    </row>
    <row r="199" s="1" customFormat="1" ht="12.75" spans="1:26">
      <c r="A199" s="7"/>
      <c r="B199" s="7"/>
      <c r="C199" s="7"/>
      <c r="D199" s="7" t="s">
        <v>276</v>
      </c>
      <c r="E199" s="7">
        <v>4</v>
      </c>
      <c r="F199" s="13">
        <v>0.185868802783415</v>
      </c>
      <c r="G199" s="13">
        <v>51.610004645807</v>
      </c>
      <c r="H199" s="13">
        <v>344645.373930225</v>
      </c>
      <c r="I199" s="13">
        <v>301.677996337345</v>
      </c>
      <c r="J199" s="13">
        <v>6</v>
      </c>
      <c r="K199" s="13">
        <v>31</v>
      </c>
      <c r="L199" s="13">
        <v>4</v>
      </c>
      <c r="M199" s="13">
        <v>46.9353027693165</v>
      </c>
      <c r="N199" s="13">
        <v>24.155036335738</v>
      </c>
      <c r="O199" s="13">
        <v>7.5</v>
      </c>
      <c r="P199" s="13">
        <v>24.8230568369405</v>
      </c>
      <c r="Q199" s="24">
        <v>0.020907776375699</v>
      </c>
      <c r="R199" s="18">
        <v>0.899035660326303</v>
      </c>
      <c r="S199" s="18">
        <v>6.03164146201292</v>
      </c>
      <c r="T199" s="25">
        <v>0.013</v>
      </c>
      <c r="U199" s="13">
        <v>32.8597700174718</v>
      </c>
      <c r="V199" s="18">
        <v>0.318246409104731</v>
      </c>
      <c r="W199" s="18">
        <v>0.022409092553286</v>
      </c>
      <c r="X199" s="18">
        <v>1.80859304472236</v>
      </c>
      <c r="Y199" s="18">
        <v>0.09202344266614</v>
      </c>
      <c r="Z199" s="18">
        <v>48.5693197933803</v>
      </c>
    </row>
    <row r="200" s="1" customFormat="1" ht="12.75" spans="1:26">
      <c r="A200" s="7"/>
      <c r="B200" s="7"/>
      <c r="C200" s="7"/>
      <c r="D200" s="7" t="s">
        <v>276</v>
      </c>
      <c r="E200" s="7">
        <v>5</v>
      </c>
      <c r="F200" s="13">
        <v>0.364341059157547</v>
      </c>
      <c r="G200" s="13">
        <v>56.4542704969614</v>
      </c>
      <c r="H200" s="13">
        <v>347703.729743803</v>
      </c>
      <c r="I200" s="13">
        <v>554.555542420849</v>
      </c>
      <c r="J200" s="13">
        <v>6</v>
      </c>
      <c r="K200" s="13">
        <v>70.899706944202</v>
      </c>
      <c r="L200" s="13">
        <v>4</v>
      </c>
      <c r="M200" s="13">
        <v>87.580713604648</v>
      </c>
      <c r="N200" s="13">
        <v>4.5</v>
      </c>
      <c r="O200" s="13">
        <v>87.930680114461</v>
      </c>
      <c r="P200" s="13">
        <v>289.090805697535</v>
      </c>
      <c r="Q200" s="26">
        <v>0.0045</v>
      </c>
      <c r="R200" s="18">
        <v>0.743913075794718</v>
      </c>
      <c r="S200" s="18">
        <v>8.52873864070418</v>
      </c>
      <c r="T200" s="25">
        <v>0.0125</v>
      </c>
      <c r="U200" s="13">
        <v>47.8407454533191</v>
      </c>
      <c r="V200" s="18">
        <v>0.265525619138873</v>
      </c>
      <c r="W200" s="25">
        <v>0.0055</v>
      </c>
      <c r="X200" s="18">
        <v>1.79402258474479</v>
      </c>
      <c r="Y200" s="18">
        <v>0.051232115014867</v>
      </c>
      <c r="Z200" s="18">
        <v>34.5872191811777</v>
      </c>
    </row>
    <row r="201" s="1" customFormat="1" ht="12.75" spans="1:26">
      <c r="A201" s="7"/>
      <c r="B201" s="7"/>
      <c r="C201" s="7"/>
      <c r="D201" s="7" t="s">
        <v>276</v>
      </c>
      <c r="E201" s="7">
        <v>6</v>
      </c>
      <c r="F201" s="13">
        <v>0.11176875408545</v>
      </c>
      <c r="G201" s="13">
        <v>50.0632258666726</v>
      </c>
      <c r="H201" s="13">
        <v>334975.462314542</v>
      </c>
      <c r="I201" s="13">
        <v>278.634058958788</v>
      </c>
      <c r="J201" s="13">
        <v>6</v>
      </c>
      <c r="K201" s="13">
        <v>31</v>
      </c>
      <c r="L201" s="13">
        <v>4</v>
      </c>
      <c r="M201" s="13">
        <v>23.271546260747</v>
      </c>
      <c r="N201" s="13">
        <v>47.636614784309</v>
      </c>
      <c r="O201" s="13">
        <v>50.626888697948</v>
      </c>
      <c r="P201" s="13">
        <v>35.9346960230289</v>
      </c>
      <c r="Q201" s="26">
        <v>0.0045</v>
      </c>
      <c r="R201" s="18">
        <v>0.556813959860306</v>
      </c>
      <c r="S201" s="18">
        <v>4.84643188714412</v>
      </c>
      <c r="T201" s="18">
        <v>0.111424360933719</v>
      </c>
      <c r="U201" s="13">
        <v>49.892798844801</v>
      </c>
      <c r="V201" s="18">
        <v>0.127921807495586</v>
      </c>
      <c r="W201" s="18">
        <v>0.013673833740858</v>
      </c>
      <c r="X201" s="18">
        <v>1.20947872267781</v>
      </c>
      <c r="Y201" s="18">
        <v>0.077466166947679</v>
      </c>
      <c r="Z201" s="18">
        <v>47.4873420796462</v>
      </c>
    </row>
    <row r="202" s="1" customFormat="1" ht="12.75" spans="1:26">
      <c r="A202" s="7"/>
      <c r="B202" s="7"/>
      <c r="C202" s="7"/>
      <c r="D202" s="7" t="s">
        <v>276</v>
      </c>
      <c r="E202" s="7">
        <v>7</v>
      </c>
      <c r="F202" s="13">
        <v>0.216018517101918</v>
      </c>
      <c r="G202" s="13">
        <v>66.3379317512469</v>
      </c>
      <c r="H202" s="13">
        <v>336109.277696586</v>
      </c>
      <c r="I202" s="13">
        <v>230.813040643321</v>
      </c>
      <c r="J202" s="13">
        <v>6</v>
      </c>
      <c r="K202" s="13">
        <v>31</v>
      </c>
      <c r="L202" s="13">
        <v>4</v>
      </c>
      <c r="M202" s="13">
        <v>11.5</v>
      </c>
      <c r="N202" s="13">
        <v>16.021432967794</v>
      </c>
      <c r="O202" s="13">
        <v>7.5</v>
      </c>
      <c r="P202" s="13">
        <v>105.348060871251</v>
      </c>
      <c r="Q202" s="26">
        <v>0.0045</v>
      </c>
      <c r="R202" s="18">
        <v>1.19786279857564</v>
      </c>
      <c r="S202" s="18">
        <v>4.55606208445358</v>
      </c>
      <c r="T202" s="18">
        <v>0.063447740253075</v>
      </c>
      <c r="U202" s="13">
        <v>47.51492755793</v>
      </c>
      <c r="V202" s="18">
        <v>0.025235156210931</v>
      </c>
      <c r="W202" s="25">
        <v>0.0055</v>
      </c>
      <c r="X202" s="18">
        <v>1.34537896153346</v>
      </c>
      <c r="Y202" s="18">
        <v>0.091706719676966</v>
      </c>
      <c r="Z202" s="18">
        <v>25.3426335864753</v>
      </c>
    </row>
    <row r="203" s="1" customFormat="1" ht="12.75" spans="1:26">
      <c r="A203" s="7"/>
      <c r="B203" s="32" t="s">
        <v>277</v>
      </c>
      <c r="C203" s="32" t="s">
        <v>273</v>
      </c>
      <c r="D203" s="32" t="s">
        <v>284</v>
      </c>
      <c r="E203" s="32"/>
      <c r="F203" s="40">
        <f>AVERAGE(F196:F202)</f>
        <v>0.267405372932088</v>
      </c>
      <c r="G203" s="40">
        <f t="shared" ref="G203:Z203" si="11">AVERAGE(G196:G202)</f>
        <v>54.7850502666361</v>
      </c>
      <c r="H203" s="40">
        <f t="shared" si="11"/>
        <v>334723.809083497</v>
      </c>
      <c r="I203" s="40">
        <f t="shared" si="11"/>
        <v>408.173800550428</v>
      </c>
      <c r="J203" s="40">
        <f>AVERAGE(J197:J202)</f>
        <v>6</v>
      </c>
      <c r="K203" s="40">
        <f t="shared" si="11"/>
        <v>50.1046470347507</v>
      </c>
      <c r="L203" s="40">
        <f t="shared" si="11"/>
        <v>4</v>
      </c>
      <c r="M203" s="40">
        <f t="shared" si="11"/>
        <v>69.8081386312372</v>
      </c>
      <c r="N203" s="40">
        <f>AVERAGE(N196:N197,N199:N202)</f>
        <v>24.8021806813068</v>
      </c>
      <c r="O203" s="40">
        <f t="shared" si="11"/>
        <v>81.2524398519921</v>
      </c>
      <c r="P203" s="40">
        <f t="shared" si="11"/>
        <v>122.763134799801</v>
      </c>
      <c r="Q203" s="40">
        <f>AVERAGE(Q196:Q198,Q200:Q201,Q202)</f>
        <v>0.0045</v>
      </c>
      <c r="R203" s="40">
        <f t="shared" si="11"/>
        <v>0.80399240123331</v>
      </c>
      <c r="S203" s="40">
        <f t="shared" si="11"/>
        <v>6.11375641394732</v>
      </c>
      <c r="T203" s="40">
        <f t="shared" si="11"/>
        <v>0.0634036289473211</v>
      </c>
      <c r="U203" s="40">
        <f t="shared" si="11"/>
        <v>44.0283976420723</v>
      </c>
      <c r="V203" s="40">
        <f t="shared" si="11"/>
        <v>0.357736366898312</v>
      </c>
      <c r="W203" s="40">
        <f t="shared" si="11"/>
        <v>0.0182230237306427</v>
      </c>
      <c r="X203" s="40">
        <f t="shared" si="11"/>
        <v>1.2301547400083</v>
      </c>
      <c r="Y203" s="40">
        <f t="shared" si="11"/>
        <v>0.0841197118210811</v>
      </c>
      <c r="Z203" s="40">
        <f t="shared" si="11"/>
        <v>42.4785352306159</v>
      </c>
    </row>
    <row r="204" s="1" customFormat="1" ht="12.75" spans="1:26">
      <c r="A204" s="7"/>
      <c r="B204" s="7" t="s">
        <v>279</v>
      </c>
      <c r="C204" s="7" t="s">
        <v>273</v>
      </c>
      <c r="D204" s="7" t="s">
        <v>276</v>
      </c>
      <c r="E204" s="7">
        <v>1</v>
      </c>
      <c r="F204" s="13">
        <v>2.74636584376378</v>
      </c>
      <c r="G204" s="13">
        <v>125.987757607168</v>
      </c>
      <c r="H204" s="13">
        <v>386420.669119012</v>
      </c>
      <c r="I204" s="13">
        <v>439.589408123924</v>
      </c>
      <c r="J204" s="13">
        <v>6</v>
      </c>
      <c r="K204" s="13">
        <v>80.233520407527</v>
      </c>
      <c r="L204" s="13">
        <v>66.020610111925</v>
      </c>
      <c r="M204" s="13">
        <v>11.5</v>
      </c>
      <c r="N204" s="13">
        <v>87.475051590809</v>
      </c>
      <c r="O204" s="13">
        <v>477.228170440418</v>
      </c>
      <c r="P204" s="13">
        <v>354.392679825177</v>
      </c>
      <c r="Q204" s="24">
        <v>0.033711767588889</v>
      </c>
      <c r="R204" s="18">
        <v>1.69353320127284</v>
      </c>
      <c r="S204" s="18">
        <v>14.9652006066101</v>
      </c>
      <c r="T204" s="25">
        <v>0.184</v>
      </c>
      <c r="U204" s="13">
        <v>64.0173221007529</v>
      </c>
      <c r="V204" s="18">
        <v>1.68917892515006</v>
      </c>
      <c r="W204" s="25">
        <v>0.0585</v>
      </c>
      <c r="X204" s="18">
        <v>1.87225473807652</v>
      </c>
      <c r="Y204" s="18">
        <v>0.104976045887973</v>
      </c>
      <c r="Z204" s="18">
        <v>11.4815248312268</v>
      </c>
    </row>
    <row r="205" s="1" customFormat="1" ht="12.75" spans="1:26">
      <c r="A205" s="7"/>
      <c r="B205" s="7"/>
      <c r="C205" s="7"/>
      <c r="D205" s="7" t="s">
        <v>276</v>
      </c>
      <c r="E205" s="7">
        <v>2</v>
      </c>
      <c r="F205" s="13">
        <v>0.593309777793519</v>
      </c>
      <c r="G205" s="13">
        <v>52.2647965012125</v>
      </c>
      <c r="H205" s="13">
        <v>330066.669509737</v>
      </c>
      <c r="I205" s="13">
        <v>197.724407133001</v>
      </c>
      <c r="J205" s="13">
        <v>6</v>
      </c>
      <c r="K205" s="13">
        <v>31</v>
      </c>
      <c r="L205" s="13">
        <v>4</v>
      </c>
      <c r="M205" s="13">
        <v>137.47720911678</v>
      </c>
      <c r="N205" s="13">
        <v>147.379714190131</v>
      </c>
      <c r="O205" s="13">
        <v>133.938561331906</v>
      </c>
      <c r="P205" s="13">
        <v>210.906500423574</v>
      </c>
      <c r="Q205" s="26">
        <v>0.0045</v>
      </c>
      <c r="R205" s="18">
        <v>1.26956380002979</v>
      </c>
      <c r="S205" s="18">
        <v>5.50337423973027</v>
      </c>
      <c r="T205" s="25">
        <v>0.404</v>
      </c>
      <c r="U205" s="13">
        <v>86.5446956912041</v>
      </c>
      <c r="V205" s="18">
        <v>1.31013383094858</v>
      </c>
      <c r="W205" s="25">
        <v>0.1285</v>
      </c>
      <c r="X205" s="25">
        <v>1.478</v>
      </c>
      <c r="Y205" s="18">
        <v>0.108029206262489</v>
      </c>
      <c r="Z205" s="18">
        <v>18.9139304133815</v>
      </c>
    </row>
    <row r="206" s="1" customFormat="1" ht="12.75" spans="1:26">
      <c r="A206" s="7"/>
      <c r="B206" s="7"/>
      <c r="C206" s="7"/>
      <c r="D206" s="7" t="s">
        <v>276</v>
      </c>
      <c r="E206" s="7">
        <v>3</v>
      </c>
      <c r="F206" s="13">
        <v>0.707668454353</v>
      </c>
      <c r="G206" s="13">
        <v>48.1118327682042</v>
      </c>
      <c r="H206" s="13">
        <v>323781.220878371</v>
      </c>
      <c r="I206" s="13">
        <v>364.995997670794</v>
      </c>
      <c r="J206" s="13">
        <v>15.718888456044</v>
      </c>
      <c r="K206" s="13">
        <v>31</v>
      </c>
      <c r="L206" s="13">
        <v>12.554901736418</v>
      </c>
      <c r="M206" s="13">
        <v>103.336542588451</v>
      </c>
      <c r="N206" s="13">
        <v>4.5</v>
      </c>
      <c r="O206" s="13">
        <v>102.877925723799</v>
      </c>
      <c r="P206" s="13">
        <v>72.0346168483654</v>
      </c>
      <c r="Q206" s="26">
        <v>0.0045</v>
      </c>
      <c r="R206" s="18">
        <v>1.18885112113114</v>
      </c>
      <c r="S206" s="18">
        <v>5.11855154584721</v>
      </c>
      <c r="T206" s="25">
        <v>0.2235</v>
      </c>
      <c r="U206" s="13">
        <v>69.8812316035265</v>
      </c>
      <c r="V206" s="18">
        <v>1.46806105290233</v>
      </c>
      <c r="W206" s="25">
        <v>0.0715</v>
      </c>
      <c r="X206" s="18">
        <v>2.69955194692574</v>
      </c>
      <c r="Y206" s="18">
        <v>0.116656148639455</v>
      </c>
      <c r="Z206" s="18">
        <v>10.6505588422984</v>
      </c>
    </row>
    <row r="207" s="1" customFormat="1" ht="12.75" spans="1:26">
      <c r="A207" s="7"/>
      <c r="B207" s="7"/>
      <c r="C207" s="7"/>
      <c r="D207" s="7" t="s">
        <v>276</v>
      </c>
      <c r="E207" s="7">
        <v>4</v>
      </c>
      <c r="F207" s="13">
        <v>1.47703107827771</v>
      </c>
      <c r="G207" s="13">
        <v>82.3931354793331</v>
      </c>
      <c r="H207" s="13">
        <v>365096.874090142</v>
      </c>
      <c r="I207" s="13">
        <v>209.360593322944</v>
      </c>
      <c r="J207" s="13">
        <v>20.448814931987</v>
      </c>
      <c r="K207" s="13">
        <v>31</v>
      </c>
      <c r="L207" s="13">
        <v>4</v>
      </c>
      <c r="M207" s="13">
        <v>62.03128937989</v>
      </c>
      <c r="N207" s="13">
        <v>51.6435251972459</v>
      </c>
      <c r="O207" s="13">
        <v>37.228275071875</v>
      </c>
      <c r="P207" s="13">
        <v>221.033048324023</v>
      </c>
      <c r="Q207" s="26">
        <v>0.0045</v>
      </c>
      <c r="R207" s="18">
        <v>2.46208567990142</v>
      </c>
      <c r="S207" s="18">
        <v>5.57687123134037</v>
      </c>
      <c r="T207" s="25">
        <v>0.2225</v>
      </c>
      <c r="U207" s="13">
        <v>79.7465419851082</v>
      </c>
      <c r="V207" s="18">
        <v>1.69773448500262</v>
      </c>
      <c r="W207" s="25">
        <v>0.0705</v>
      </c>
      <c r="X207" s="18">
        <v>2.19414820761564</v>
      </c>
      <c r="Y207" s="18">
        <v>0.088726489295788</v>
      </c>
      <c r="Z207" s="18">
        <v>11.0016898002891</v>
      </c>
    </row>
    <row r="208" s="1" customFormat="1" ht="12.75" spans="1:26">
      <c r="A208" s="7"/>
      <c r="B208" s="32" t="s">
        <v>279</v>
      </c>
      <c r="C208" s="32" t="s">
        <v>273</v>
      </c>
      <c r="D208" s="32" t="s">
        <v>284</v>
      </c>
      <c r="E208" s="32"/>
      <c r="F208" s="40">
        <f>AVERAGE(F204:F207)</f>
        <v>1.381093788547</v>
      </c>
      <c r="G208" s="40">
        <f t="shared" ref="G208:Z208" si="12">AVERAGE(G204:G207)</f>
        <v>77.1893805889794</v>
      </c>
      <c r="H208" s="40">
        <f t="shared" si="12"/>
        <v>351341.358399316</v>
      </c>
      <c r="I208" s="40">
        <f t="shared" si="12"/>
        <v>302.917601562666</v>
      </c>
      <c r="J208" s="40">
        <f t="shared" si="12"/>
        <v>12.0419258470078</v>
      </c>
      <c r="K208" s="40">
        <f t="shared" si="12"/>
        <v>43.3083801018818</v>
      </c>
      <c r="L208" s="40">
        <f t="shared" si="12"/>
        <v>21.6438779620858</v>
      </c>
      <c r="M208" s="40">
        <f t="shared" si="12"/>
        <v>78.5862602712803</v>
      </c>
      <c r="N208" s="40">
        <f t="shared" si="12"/>
        <v>72.7495727445465</v>
      </c>
      <c r="O208" s="40">
        <f t="shared" si="12"/>
        <v>187.818233142</v>
      </c>
      <c r="P208" s="40">
        <f t="shared" si="12"/>
        <v>214.591711355285</v>
      </c>
      <c r="Q208" s="40">
        <f>AVERAGE(Q205:Q207)</f>
        <v>0.0045</v>
      </c>
      <c r="R208" s="40">
        <f t="shared" si="12"/>
        <v>1.6535084505838</v>
      </c>
      <c r="S208" s="40">
        <f t="shared" si="12"/>
        <v>7.79099940588199</v>
      </c>
      <c r="T208" s="40">
        <f t="shared" si="12"/>
        <v>0.2585</v>
      </c>
      <c r="U208" s="40">
        <f t="shared" si="12"/>
        <v>75.0474478451479</v>
      </c>
      <c r="V208" s="40">
        <f t="shared" si="12"/>
        <v>1.5412770735009</v>
      </c>
      <c r="W208" s="40">
        <f t="shared" si="12"/>
        <v>0.08225</v>
      </c>
      <c r="X208" s="40">
        <f t="shared" si="12"/>
        <v>2.06098872315447</v>
      </c>
      <c r="Y208" s="40">
        <f t="shared" si="12"/>
        <v>0.104596972521426</v>
      </c>
      <c r="Z208" s="40">
        <f t="shared" si="12"/>
        <v>13.011925971799</v>
      </c>
    </row>
    <row r="209" s="1" customFormat="1" ht="12.75" spans="1:26">
      <c r="A209" s="7"/>
      <c r="B209" s="7" t="s">
        <v>280</v>
      </c>
      <c r="C209" s="7" t="s">
        <v>273</v>
      </c>
      <c r="D209" s="7" t="s">
        <v>276</v>
      </c>
      <c r="E209" s="7">
        <v>1</v>
      </c>
      <c r="F209" s="13">
        <v>0.234145455551077</v>
      </c>
      <c r="G209" s="13">
        <v>47.0970519240086</v>
      </c>
      <c r="H209" s="13">
        <v>328614.477230736</v>
      </c>
      <c r="I209" s="13">
        <v>243.024334249991</v>
      </c>
      <c r="J209" s="13">
        <v>21.839216938794</v>
      </c>
      <c r="K209" s="13">
        <v>31</v>
      </c>
      <c r="L209" s="13">
        <v>9.619766076176</v>
      </c>
      <c r="M209" s="13">
        <v>66.528695745165</v>
      </c>
      <c r="N209" s="13">
        <v>32.730830217944</v>
      </c>
      <c r="O209" s="13">
        <v>193.577054564901</v>
      </c>
      <c r="P209" s="13">
        <v>83.6750688642522</v>
      </c>
      <c r="Q209" s="26">
        <v>0.011817449901859</v>
      </c>
      <c r="R209" s="18">
        <v>1.10622024575227</v>
      </c>
      <c r="S209" s="18">
        <v>2.66843633796535</v>
      </c>
      <c r="T209" s="18">
        <v>0.053239232827964</v>
      </c>
      <c r="U209" s="13">
        <v>38.3714570071665</v>
      </c>
      <c r="V209" s="18">
        <v>0.882214475499809</v>
      </c>
      <c r="W209" s="18">
        <v>0.05612196094402</v>
      </c>
      <c r="X209" s="18">
        <v>3.33779331726649</v>
      </c>
      <c r="Y209" s="18">
        <v>0.062415507262709</v>
      </c>
      <c r="Z209" s="18">
        <v>20.5971898965629</v>
      </c>
    </row>
    <row r="210" s="1" customFormat="1" ht="12.75" spans="1:26">
      <c r="A210" s="7"/>
      <c r="B210" s="7"/>
      <c r="C210" s="7"/>
      <c r="D210" s="7" t="s">
        <v>276</v>
      </c>
      <c r="E210" s="7">
        <v>2</v>
      </c>
      <c r="F210" s="13">
        <v>0.138487373772646</v>
      </c>
      <c r="G210" s="13">
        <v>36.0180216750247</v>
      </c>
      <c r="H210" s="13">
        <v>334249.28025316</v>
      </c>
      <c r="I210" s="13">
        <v>259.685617788613</v>
      </c>
      <c r="J210" s="13">
        <v>15.907063944458</v>
      </c>
      <c r="K210" s="13">
        <v>31</v>
      </c>
      <c r="L210" s="13">
        <v>4</v>
      </c>
      <c r="M210" s="13">
        <v>37.3439835906735</v>
      </c>
      <c r="N210" s="13">
        <v>4.5</v>
      </c>
      <c r="O210" s="13">
        <v>56.563360877358</v>
      </c>
      <c r="P210" s="13">
        <v>6</v>
      </c>
      <c r="Q210" s="26">
        <v>0.0045</v>
      </c>
      <c r="R210" s="18">
        <v>1.35628704203439</v>
      </c>
      <c r="S210" s="18">
        <v>4.83770105789629</v>
      </c>
      <c r="T210" s="25">
        <v>0.013</v>
      </c>
      <c r="U210" s="13">
        <v>56.1287698835892</v>
      </c>
      <c r="V210" s="18">
        <v>0.93334869474581</v>
      </c>
      <c r="W210" s="18">
        <v>0.019136304784807</v>
      </c>
      <c r="X210" s="18">
        <v>2.82400492268488</v>
      </c>
      <c r="Y210" s="18">
        <v>0.068231317533498</v>
      </c>
      <c r="Z210" s="18">
        <v>39.6271143551109</v>
      </c>
    </row>
    <row r="211" s="1" customFormat="1" ht="12.75" spans="1:26">
      <c r="A211" s="7"/>
      <c r="B211" s="7"/>
      <c r="C211" s="7"/>
      <c r="D211" s="7" t="s">
        <v>276</v>
      </c>
      <c r="E211" s="7">
        <v>3</v>
      </c>
      <c r="F211" s="13">
        <v>0.348984800085868</v>
      </c>
      <c r="G211" s="13">
        <v>231.139307416428</v>
      </c>
      <c r="H211" s="13">
        <v>320250.446171458</v>
      </c>
      <c r="I211" s="13">
        <v>153.398135687284</v>
      </c>
      <c r="J211" s="13">
        <v>6</v>
      </c>
      <c r="K211" s="13">
        <v>31</v>
      </c>
      <c r="L211" s="13">
        <v>4</v>
      </c>
      <c r="M211" s="13">
        <v>27.3428157574035</v>
      </c>
      <c r="N211" s="13">
        <v>45.183352019527</v>
      </c>
      <c r="O211" s="13">
        <v>56.333679391708</v>
      </c>
      <c r="P211" s="13">
        <v>120.436780441639</v>
      </c>
      <c r="Q211" s="26">
        <v>0.0045</v>
      </c>
      <c r="R211" s="18">
        <v>2.05973785406961</v>
      </c>
      <c r="S211" s="18">
        <v>5.01356790894933</v>
      </c>
      <c r="T211" s="18">
        <v>0.187526466348553</v>
      </c>
      <c r="U211" s="13">
        <v>50.41832440225</v>
      </c>
      <c r="V211" s="18">
        <v>0.674944301764058</v>
      </c>
      <c r="W211" s="18">
        <v>0.01822299194673</v>
      </c>
      <c r="X211" s="18">
        <v>4.22826207048029</v>
      </c>
      <c r="Y211" s="18">
        <v>0.055378426147023</v>
      </c>
      <c r="Z211" s="18">
        <v>27.7612755090234</v>
      </c>
    </row>
    <row r="212" s="1" customFormat="1" ht="12.75" spans="1:26">
      <c r="A212" s="7"/>
      <c r="B212" s="32" t="s">
        <v>280</v>
      </c>
      <c r="C212" s="32" t="s">
        <v>273</v>
      </c>
      <c r="D212" s="32" t="s">
        <v>284</v>
      </c>
      <c r="E212" s="32"/>
      <c r="F212" s="40">
        <f>AVERAGE(F209:F211)</f>
        <v>0.240539209803197</v>
      </c>
      <c r="G212" s="40">
        <f t="shared" ref="G212:Z212" si="13">AVERAGE(G209:G211)</f>
        <v>104.751460338487</v>
      </c>
      <c r="H212" s="40">
        <f t="shared" si="13"/>
        <v>327704.734551785</v>
      </c>
      <c r="I212" s="40">
        <f t="shared" si="13"/>
        <v>218.702695908629</v>
      </c>
      <c r="J212" s="40">
        <f t="shared" si="13"/>
        <v>14.5820936277507</v>
      </c>
      <c r="K212" s="40">
        <f t="shared" si="13"/>
        <v>31</v>
      </c>
      <c r="L212" s="40">
        <f t="shared" si="13"/>
        <v>5.87325535872533</v>
      </c>
      <c r="M212" s="40">
        <f t="shared" si="13"/>
        <v>43.738498364414</v>
      </c>
      <c r="N212" s="40">
        <f t="shared" si="13"/>
        <v>27.471394079157</v>
      </c>
      <c r="O212" s="40">
        <f t="shared" si="13"/>
        <v>102.158031611322</v>
      </c>
      <c r="P212" s="40">
        <f t="shared" si="13"/>
        <v>70.0372831019638</v>
      </c>
      <c r="Q212" s="40">
        <f t="shared" si="13"/>
        <v>0.00693914996728633</v>
      </c>
      <c r="R212" s="40">
        <f t="shared" si="13"/>
        <v>1.50741504728542</v>
      </c>
      <c r="S212" s="40">
        <f t="shared" si="13"/>
        <v>4.17323510160366</v>
      </c>
      <c r="T212" s="40">
        <f t="shared" si="13"/>
        <v>0.0845885663921723</v>
      </c>
      <c r="U212" s="40">
        <f t="shared" si="13"/>
        <v>48.3061837643352</v>
      </c>
      <c r="V212" s="40">
        <f t="shared" si="13"/>
        <v>0.830169157336559</v>
      </c>
      <c r="W212" s="40">
        <f t="shared" si="13"/>
        <v>0.0311604192251857</v>
      </c>
      <c r="X212" s="40">
        <f t="shared" si="13"/>
        <v>3.46335343681055</v>
      </c>
      <c r="Y212" s="40">
        <f t="shared" si="13"/>
        <v>0.0620084169810767</v>
      </c>
      <c r="Z212" s="40">
        <f t="shared" si="13"/>
        <v>29.3285265868991</v>
      </c>
    </row>
    <row r="213" s="1" customFormat="1" ht="12.75" spans="1:26">
      <c r="A213" s="7"/>
      <c r="B213" s="7" t="s">
        <v>281</v>
      </c>
      <c r="C213" s="7" t="s">
        <v>273</v>
      </c>
      <c r="D213" s="7" t="s">
        <v>276</v>
      </c>
      <c r="E213" s="7">
        <v>1</v>
      </c>
      <c r="F213" s="13">
        <v>0.303324896674821</v>
      </c>
      <c r="G213" s="13">
        <v>53.5961800421978</v>
      </c>
      <c r="H213" s="13">
        <v>338031.187447823</v>
      </c>
      <c r="I213" s="13">
        <v>431.334557891669</v>
      </c>
      <c r="J213" s="13">
        <v>6</v>
      </c>
      <c r="K213" s="13">
        <v>31</v>
      </c>
      <c r="L213" s="13">
        <v>4</v>
      </c>
      <c r="M213" s="13">
        <v>28.8798563198295</v>
      </c>
      <c r="N213" s="13">
        <v>79.533640552854</v>
      </c>
      <c r="O213" s="13">
        <v>89.924176511764</v>
      </c>
      <c r="P213" s="13">
        <v>71.7731267467101</v>
      </c>
      <c r="Q213" s="26">
        <v>0.0045</v>
      </c>
      <c r="R213" s="18">
        <v>1.18042042860197</v>
      </c>
      <c r="S213" s="18">
        <v>4.14535342138302</v>
      </c>
      <c r="T213" s="18">
        <v>0.187491558696962</v>
      </c>
      <c r="U213" s="13">
        <v>44.406825819423</v>
      </c>
      <c r="V213" s="18">
        <v>0.851211913651528</v>
      </c>
      <c r="W213" s="18">
        <v>0.077088991657771</v>
      </c>
      <c r="X213" s="18">
        <v>0.528</v>
      </c>
      <c r="Y213" s="18">
        <v>0.041799535832039</v>
      </c>
      <c r="Z213" s="18">
        <v>1.70173215324233</v>
      </c>
    </row>
    <row r="214" s="1" customFormat="1" ht="12.75" spans="1:26">
      <c r="A214" s="7"/>
      <c r="B214" s="7"/>
      <c r="C214" s="7"/>
      <c r="D214" s="7" t="s">
        <v>276</v>
      </c>
      <c r="E214" s="7">
        <v>2</v>
      </c>
      <c r="F214" s="13">
        <v>0.215643053950551</v>
      </c>
      <c r="G214" s="13">
        <v>53.7975011938089</v>
      </c>
      <c r="H214" s="13">
        <v>357165.575933223</v>
      </c>
      <c r="I214" s="13">
        <v>466.43378890739</v>
      </c>
      <c r="J214" s="13">
        <v>6</v>
      </c>
      <c r="K214" s="13">
        <v>31</v>
      </c>
      <c r="L214" s="13">
        <v>4</v>
      </c>
      <c r="M214" s="13">
        <v>52.6914100268015</v>
      </c>
      <c r="N214" s="13">
        <v>71.481078189141</v>
      </c>
      <c r="O214" s="13">
        <v>42.108359439443</v>
      </c>
      <c r="P214" s="13">
        <v>31.1393183410211</v>
      </c>
      <c r="Q214" s="26">
        <v>0.0045</v>
      </c>
      <c r="R214" s="18">
        <v>1.16005920206991</v>
      </c>
      <c r="S214" s="18">
        <v>4.55050640344509</v>
      </c>
      <c r="T214" s="18">
        <v>0.086729468381211</v>
      </c>
      <c r="U214" s="13">
        <v>44.7230660338943</v>
      </c>
      <c r="V214" s="18">
        <v>0.74051971282803</v>
      </c>
      <c r="W214" s="18">
        <v>0.036305503668445</v>
      </c>
      <c r="X214" s="18">
        <v>0.247</v>
      </c>
      <c r="Y214" s="18">
        <v>0.041821325492002</v>
      </c>
      <c r="Z214" s="18">
        <v>5.03461390637959</v>
      </c>
    </row>
    <row r="215" s="1" customFormat="1" ht="12.75" spans="1:26">
      <c r="A215" s="7"/>
      <c r="B215" s="7"/>
      <c r="C215" s="7"/>
      <c r="D215" s="7" t="s">
        <v>276</v>
      </c>
      <c r="E215" s="7">
        <v>3</v>
      </c>
      <c r="F215" s="13">
        <v>0.292452532621293</v>
      </c>
      <c r="G215" s="13">
        <v>55.6948766696772</v>
      </c>
      <c r="H215" s="13">
        <v>340184.755702393</v>
      </c>
      <c r="I215" s="13">
        <v>485.634773233007</v>
      </c>
      <c r="J215" s="13">
        <v>6</v>
      </c>
      <c r="K215" s="13">
        <v>31</v>
      </c>
      <c r="L215" s="13">
        <v>4</v>
      </c>
      <c r="M215" s="13">
        <v>83.943390332452</v>
      </c>
      <c r="N215" s="13">
        <v>30.716394583767</v>
      </c>
      <c r="O215" s="13">
        <v>7.5</v>
      </c>
      <c r="P215" s="13">
        <v>75.7808302483616</v>
      </c>
      <c r="Q215" s="26">
        <v>0.0045</v>
      </c>
      <c r="R215" s="18">
        <v>1.72389806804593</v>
      </c>
      <c r="S215" s="18">
        <v>4.27693907891142</v>
      </c>
      <c r="T215" s="18">
        <v>0.173094061351457</v>
      </c>
      <c r="U215" s="13">
        <v>47.7792821200118</v>
      </c>
      <c r="V215" s="18">
        <v>0.823399992828813</v>
      </c>
      <c r="W215" s="18">
        <v>0.056613439753875</v>
      </c>
      <c r="X215" s="18">
        <v>1.8504025479625</v>
      </c>
      <c r="Y215" s="18">
        <v>0.051753528623897</v>
      </c>
      <c r="Z215" s="18">
        <v>7.68275864760539</v>
      </c>
    </row>
    <row r="216" s="1" customFormat="1" ht="12.75" spans="1:26">
      <c r="A216" s="7"/>
      <c r="B216" s="7"/>
      <c r="C216" s="7"/>
      <c r="D216" s="7" t="s">
        <v>276</v>
      </c>
      <c r="E216" s="7">
        <v>4</v>
      </c>
      <c r="F216" s="13">
        <v>0.330800480209143</v>
      </c>
      <c r="G216" s="13">
        <v>46.6220555931912</v>
      </c>
      <c r="H216" s="13">
        <v>333429.407002787</v>
      </c>
      <c r="I216" s="13">
        <v>437.572104497632</v>
      </c>
      <c r="J216" s="13">
        <v>10.720160613093</v>
      </c>
      <c r="K216" s="13">
        <v>31</v>
      </c>
      <c r="L216" s="13">
        <v>4</v>
      </c>
      <c r="M216" s="13">
        <v>70.300215933681</v>
      </c>
      <c r="N216" s="13">
        <v>66.048802903606</v>
      </c>
      <c r="O216" s="13">
        <v>7.5</v>
      </c>
      <c r="P216" s="13">
        <v>50.4088275506184</v>
      </c>
      <c r="Q216" s="26">
        <v>0.0045</v>
      </c>
      <c r="R216" s="18">
        <v>1.13985578638876</v>
      </c>
      <c r="S216" s="18">
        <v>5.24082619509144</v>
      </c>
      <c r="T216" s="18">
        <v>0.053598189216051</v>
      </c>
      <c r="U216" s="13">
        <v>45.1355567266894</v>
      </c>
      <c r="V216" s="18">
        <v>0.489050209853948</v>
      </c>
      <c r="W216" s="18">
        <v>0.018211661114105</v>
      </c>
      <c r="X216" s="25">
        <v>0.151</v>
      </c>
      <c r="Y216" s="18">
        <v>0.035199380537791</v>
      </c>
      <c r="Z216" s="18">
        <v>7.24170083639905</v>
      </c>
    </row>
    <row r="217" s="1" customFormat="1" ht="12.75" spans="1:26">
      <c r="A217" s="7"/>
      <c r="B217" s="7"/>
      <c r="C217" s="7"/>
      <c r="D217" s="7" t="s">
        <v>276</v>
      </c>
      <c r="E217" s="7">
        <v>5</v>
      </c>
      <c r="F217" s="13">
        <v>0.235046706792158</v>
      </c>
      <c r="G217" s="13">
        <v>49.3507097338893</v>
      </c>
      <c r="H217" s="13">
        <v>331939.417801706</v>
      </c>
      <c r="I217" s="13">
        <v>217.121421107609</v>
      </c>
      <c r="J217" s="19">
        <v>160.254775529405</v>
      </c>
      <c r="K217" s="13">
        <v>31</v>
      </c>
      <c r="L217" s="19">
        <v>91.614378620171</v>
      </c>
      <c r="M217" s="13">
        <v>54.3812028588755</v>
      </c>
      <c r="N217" s="13">
        <v>52.993075105547</v>
      </c>
      <c r="O217" s="13">
        <v>7.5</v>
      </c>
      <c r="P217" s="13">
        <v>37.5604034933537</v>
      </c>
      <c r="Q217" s="26">
        <v>0.0045</v>
      </c>
      <c r="R217" s="18">
        <v>1.20866573762724</v>
      </c>
      <c r="S217" s="18">
        <v>2.61696827032401</v>
      </c>
      <c r="T217" s="25">
        <v>0.019</v>
      </c>
      <c r="U217" s="13">
        <v>44.9671072521947</v>
      </c>
      <c r="V217" s="18">
        <v>0.425008161613509</v>
      </c>
      <c r="W217" s="18">
        <v>0.051418751056752</v>
      </c>
      <c r="X217" s="18">
        <v>1.35023775662988</v>
      </c>
      <c r="Y217" s="18">
        <v>0.030227692277983</v>
      </c>
      <c r="Z217" s="18">
        <v>7.44329952175966</v>
      </c>
    </row>
    <row r="218" s="1" customFormat="1" ht="12.75" spans="1:26">
      <c r="A218" s="7"/>
      <c r="B218" s="7"/>
      <c r="C218" s="7"/>
      <c r="D218" s="7" t="s">
        <v>276</v>
      </c>
      <c r="E218" s="7">
        <v>6</v>
      </c>
      <c r="F218" s="13">
        <v>4.2153650625518</v>
      </c>
      <c r="G218" s="13">
        <v>153.457461548916</v>
      </c>
      <c r="H218" s="13">
        <v>339679.967633212</v>
      </c>
      <c r="I218" s="13">
        <v>546.610548947299</v>
      </c>
      <c r="J218" s="13">
        <v>36.704462093296</v>
      </c>
      <c r="K218" s="13">
        <v>31</v>
      </c>
      <c r="L218" s="13">
        <v>4</v>
      </c>
      <c r="M218" s="13">
        <v>42.258511429449</v>
      </c>
      <c r="N218" s="13">
        <v>66.843157060646</v>
      </c>
      <c r="O218" s="13">
        <v>20.392649862093</v>
      </c>
      <c r="P218" s="13">
        <v>106.01714335005</v>
      </c>
      <c r="Q218" s="26">
        <v>0.0045</v>
      </c>
      <c r="R218" s="18">
        <v>2.19404158967165</v>
      </c>
      <c r="S218" s="18">
        <v>7.00759186528625</v>
      </c>
      <c r="T218" s="25">
        <v>0.02</v>
      </c>
      <c r="U218" s="13">
        <v>42.7849947595668</v>
      </c>
      <c r="V218" s="18">
        <v>0.559708196976635</v>
      </c>
      <c r="W218" s="25">
        <v>0.0085</v>
      </c>
      <c r="X218" s="25">
        <v>0.1545</v>
      </c>
      <c r="Y218" s="18">
        <v>0.037989864948411</v>
      </c>
      <c r="Z218" s="18">
        <v>13.3470879556031</v>
      </c>
    </row>
    <row r="219" s="1" customFormat="1" ht="12.75" spans="1:26">
      <c r="A219" s="7"/>
      <c r="B219" s="7"/>
      <c r="C219" s="7"/>
      <c r="D219" s="7" t="s">
        <v>276</v>
      </c>
      <c r="E219" s="7">
        <v>7</v>
      </c>
      <c r="F219" s="13">
        <v>0.310061636176522</v>
      </c>
      <c r="G219" s="13">
        <v>51.2433137392415</v>
      </c>
      <c r="H219" s="13">
        <v>342588.285113218</v>
      </c>
      <c r="I219" s="13">
        <v>346.448474081857</v>
      </c>
      <c r="J219" s="13">
        <v>6</v>
      </c>
      <c r="K219" s="13">
        <v>31</v>
      </c>
      <c r="L219" s="13">
        <v>4</v>
      </c>
      <c r="M219" s="13">
        <v>32.862086606156</v>
      </c>
      <c r="N219" s="13">
        <v>79.643903170852</v>
      </c>
      <c r="O219" s="13">
        <v>90.463351664521</v>
      </c>
      <c r="P219" s="13">
        <v>6</v>
      </c>
      <c r="Q219" s="26">
        <v>0.013286953504146</v>
      </c>
      <c r="R219" s="18">
        <v>1.51432907790157</v>
      </c>
      <c r="S219" s="18">
        <v>3.84083089519504</v>
      </c>
      <c r="T219" s="25">
        <v>0.021</v>
      </c>
      <c r="U219" s="13">
        <v>46.5007300481226</v>
      </c>
      <c r="V219" s="18">
        <v>0.777914545251723</v>
      </c>
      <c r="W219" s="25">
        <v>0.009</v>
      </c>
      <c r="X219" s="18">
        <v>0.893624059973697</v>
      </c>
      <c r="Y219" s="18">
        <v>0.028369485476439</v>
      </c>
      <c r="Z219" s="18">
        <v>5.97490134917007</v>
      </c>
    </row>
    <row r="220" s="1" customFormat="1" ht="12.75" spans="1:26">
      <c r="A220" s="7"/>
      <c r="B220" s="32" t="s">
        <v>281</v>
      </c>
      <c r="C220" s="32" t="s">
        <v>273</v>
      </c>
      <c r="D220" s="32" t="s">
        <v>284</v>
      </c>
      <c r="E220" s="32"/>
      <c r="F220" s="40">
        <f>AVERAGE(F213:F219)</f>
        <v>0.843242052710898</v>
      </c>
      <c r="G220" s="40">
        <f t="shared" ref="G220:Z220" si="14">AVERAGE(G213:G219)</f>
        <v>66.2517283601317</v>
      </c>
      <c r="H220" s="40">
        <f t="shared" si="14"/>
        <v>340431.228090623</v>
      </c>
      <c r="I220" s="40">
        <f t="shared" si="14"/>
        <v>418.736524095209</v>
      </c>
      <c r="J220" s="40">
        <f>AVERAGE(J213:J216,J218:J219)</f>
        <v>11.9041037843982</v>
      </c>
      <c r="K220" s="40">
        <f t="shared" si="14"/>
        <v>31</v>
      </c>
      <c r="L220" s="40">
        <f>AVERAGE(L213:L216,L218:L219)</f>
        <v>4</v>
      </c>
      <c r="M220" s="40">
        <f t="shared" si="14"/>
        <v>52.1880962153206</v>
      </c>
      <c r="N220" s="40">
        <f t="shared" si="14"/>
        <v>63.8942930809161</v>
      </c>
      <c r="O220" s="40">
        <f t="shared" si="14"/>
        <v>37.9126482111173</v>
      </c>
      <c r="P220" s="40">
        <f t="shared" si="14"/>
        <v>54.0970928185878</v>
      </c>
      <c r="Q220" s="40">
        <f t="shared" si="14"/>
        <v>0.00575527907202086</v>
      </c>
      <c r="R220" s="40">
        <f t="shared" si="14"/>
        <v>1.44589569861529</v>
      </c>
      <c r="S220" s="40">
        <f t="shared" si="14"/>
        <v>4.52557373280518</v>
      </c>
      <c r="T220" s="40">
        <f t="shared" si="14"/>
        <v>0.0801304682350973</v>
      </c>
      <c r="U220" s="40">
        <f t="shared" si="14"/>
        <v>45.1853661085575</v>
      </c>
      <c r="V220" s="40">
        <f t="shared" si="14"/>
        <v>0.666687533286312</v>
      </c>
      <c r="W220" s="40">
        <f t="shared" si="14"/>
        <v>0.0367340496072783</v>
      </c>
      <c r="X220" s="40">
        <f t="shared" si="14"/>
        <v>0.739252052080868</v>
      </c>
      <c r="Y220" s="40">
        <f t="shared" si="14"/>
        <v>0.0381658304555089</v>
      </c>
      <c r="Z220" s="40">
        <f t="shared" si="14"/>
        <v>6.91801348145131</v>
      </c>
    </row>
    <row r="221" s="1" customFormat="1" ht="12.75" spans="1:26">
      <c r="A221" s="7"/>
      <c r="B221" s="7" t="s">
        <v>282</v>
      </c>
      <c r="C221" s="7" t="s">
        <v>273</v>
      </c>
      <c r="D221" s="7" t="s">
        <v>276</v>
      </c>
      <c r="E221" s="7">
        <v>1</v>
      </c>
      <c r="F221" s="13">
        <v>0.921381432945465</v>
      </c>
      <c r="G221" s="13">
        <v>67.8934206308915</v>
      </c>
      <c r="H221" s="13">
        <v>334027.682611128</v>
      </c>
      <c r="I221" s="13">
        <v>470.74812116523</v>
      </c>
      <c r="J221" s="13">
        <v>6</v>
      </c>
      <c r="K221" s="13">
        <v>31</v>
      </c>
      <c r="L221" s="13">
        <v>4</v>
      </c>
      <c r="M221" s="13">
        <v>11.5</v>
      </c>
      <c r="N221" s="13">
        <v>4.5</v>
      </c>
      <c r="O221" s="13">
        <v>7.5</v>
      </c>
      <c r="P221" s="13">
        <v>17.1130915583751</v>
      </c>
      <c r="Q221" s="26">
        <v>0.0045</v>
      </c>
      <c r="R221" s="18">
        <v>0.256140231041854</v>
      </c>
      <c r="S221" s="18">
        <v>3.79581579589008</v>
      </c>
      <c r="T221" s="18">
        <v>0.039217596440109</v>
      </c>
      <c r="U221" s="13">
        <v>36.8926582663641</v>
      </c>
      <c r="V221" s="18">
        <v>0.596215415600274</v>
      </c>
      <c r="W221" s="18">
        <v>0.015479312558205</v>
      </c>
      <c r="X221" s="18">
        <v>0.58218801540192</v>
      </c>
      <c r="Y221" s="18">
        <v>0.018177213454512</v>
      </c>
      <c r="Z221" s="18">
        <v>2.71696659474244</v>
      </c>
    </row>
    <row r="222" s="1" customFormat="1" ht="12.75" spans="1:26">
      <c r="A222" s="7"/>
      <c r="B222" s="7"/>
      <c r="C222" s="7"/>
      <c r="D222" s="7" t="s">
        <v>276</v>
      </c>
      <c r="E222" s="7">
        <v>2</v>
      </c>
      <c r="F222" s="13">
        <v>1.22590306145998</v>
      </c>
      <c r="G222" s="13">
        <v>77.3609761787128</v>
      </c>
      <c r="H222" s="13">
        <v>339446.82598104</v>
      </c>
      <c r="I222" s="13">
        <v>1092.40590601703</v>
      </c>
      <c r="J222" s="13">
        <v>9.198106222499</v>
      </c>
      <c r="K222" s="13">
        <v>31</v>
      </c>
      <c r="L222" s="13">
        <v>4</v>
      </c>
      <c r="M222" s="13">
        <v>44.7794817092005</v>
      </c>
      <c r="N222" s="13">
        <v>62.502793498847</v>
      </c>
      <c r="O222" s="13">
        <v>7.5</v>
      </c>
      <c r="P222" s="13">
        <v>98.921867132155</v>
      </c>
      <c r="Q222" s="26">
        <v>0.0045</v>
      </c>
      <c r="R222" s="25">
        <v>0.128</v>
      </c>
      <c r="S222" s="18">
        <v>4.61004030044592</v>
      </c>
      <c r="T222" s="18">
        <v>0.040957796562858</v>
      </c>
      <c r="U222" s="13">
        <v>33.8651221600176</v>
      </c>
      <c r="V222" s="18">
        <v>0.491310134481407</v>
      </c>
      <c r="W222" s="25">
        <v>0.008</v>
      </c>
      <c r="X222" s="18">
        <v>0.90549750188851</v>
      </c>
      <c r="Y222" s="18">
        <v>0.036857074535029</v>
      </c>
      <c r="Z222" s="18">
        <v>1.56393170250151</v>
      </c>
    </row>
    <row r="223" s="1" customFormat="1" ht="12.75" spans="1:26">
      <c r="A223" s="7"/>
      <c r="B223" s="7"/>
      <c r="C223" s="7"/>
      <c r="D223" s="7" t="s">
        <v>276</v>
      </c>
      <c r="E223" s="7">
        <v>3</v>
      </c>
      <c r="F223" s="13">
        <v>0.685399191920223</v>
      </c>
      <c r="G223" s="13">
        <v>69.2757976439127</v>
      </c>
      <c r="H223" s="13">
        <v>331444.875378345</v>
      </c>
      <c r="I223" s="13">
        <v>539.209324990713</v>
      </c>
      <c r="J223" s="13">
        <v>19.290603706239</v>
      </c>
      <c r="K223" s="13">
        <v>31</v>
      </c>
      <c r="L223" s="13">
        <v>4</v>
      </c>
      <c r="M223" s="13">
        <v>31.482669631542</v>
      </c>
      <c r="N223" s="13">
        <v>12.50842776197</v>
      </c>
      <c r="O223" s="13">
        <v>7.5</v>
      </c>
      <c r="P223" s="13">
        <v>60.433681071368</v>
      </c>
      <c r="Q223" s="26">
        <v>0.0045</v>
      </c>
      <c r="R223" s="18">
        <v>0.297022758060939</v>
      </c>
      <c r="S223" s="18">
        <v>3.81525165024678</v>
      </c>
      <c r="T223" s="18">
        <v>0.063883032814543</v>
      </c>
      <c r="U223" s="13">
        <v>38.032600481073</v>
      </c>
      <c r="V223" s="18">
        <v>0.54187018524188</v>
      </c>
      <c r="W223" s="18">
        <v>0.054894178900768</v>
      </c>
      <c r="X223" s="18">
        <v>2.33201403875896</v>
      </c>
      <c r="Y223" s="18">
        <v>0.017630383209769</v>
      </c>
      <c r="Z223" s="18">
        <v>1.26509458081337</v>
      </c>
    </row>
    <row r="224" s="1" customFormat="1" ht="13.5" spans="1:26">
      <c r="A224" s="9"/>
      <c r="B224" s="9"/>
      <c r="C224" s="9"/>
      <c r="D224" s="9" t="s">
        <v>276</v>
      </c>
      <c r="E224" s="9">
        <v>4</v>
      </c>
      <c r="F224" s="41">
        <v>0.46027129249595</v>
      </c>
      <c r="G224" s="41">
        <v>75.2339835278907</v>
      </c>
      <c r="H224" s="41">
        <v>337358.983554536</v>
      </c>
      <c r="I224" s="41">
        <v>508.231681019663</v>
      </c>
      <c r="J224" s="41">
        <v>6</v>
      </c>
      <c r="K224" s="41">
        <v>31</v>
      </c>
      <c r="L224" s="41">
        <v>4</v>
      </c>
      <c r="M224" s="41">
        <v>26.102462324335</v>
      </c>
      <c r="N224" s="41">
        <v>55.27051389095</v>
      </c>
      <c r="O224" s="41">
        <v>7.5</v>
      </c>
      <c r="P224" s="41">
        <v>31.1596331939512</v>
      </c>
      <c r="Q224" s="43">
        <v>0.0045</v>
      </c>
      <c r="R224" s="44">
        <v>0.115</v>
      </c>
      <c r="S224" s="45">
        <v>2.79025208785933</v>
      </c>
      <c r="T224" s="45">
        <v>0.058612119825056</v>
      </c>
      <c r="U224" s="41">
        <v>31.36493144581</v>
      </c>
      <c r="V224" s="45">
        <v>0.395088803719871</v>
      </c>
      <c r="W224" s="45">
        <v>0.029468456482635</v>
      </c>
      <c r="X224" s="45">
        <v>1.51896961095319</v>
      </c>
      <c r="Y224" s="44">
        <v>0.0025</v>
      </c>
      <c r="Z224" s="45">
        <v>1.93488773702028</v>
      </c>
    </row>
    <row r="225" s="1" customFormat="1" ht="12.75" spans="1:26">
      <c r="A225" s="7"/>
      <c r="B225" s="32" t="s">
        <v>282</v>
      </c>
      <c r="C225" s="32" t="s">
        <v>273</v>
      </c>
      <c r="D225" s="32" t="s">
        <v>284</v>
      </c>
      <c r="E225" s="32"/>
      <c r="F225" s="40">
        <f>AVERAGE(F221:F224)</f>
        <v>0.823238744705405</v>
      </c>
      <c r="G225" s="40">
        <f t="shared" ref="G225:Z225" si="15">AVERAGE(G221:G224)</f>
        <v>72.4410444953519</v>
      </c>
      <c r="H225" s="40">
        <f t="shared" si="15"/>
        <v>335569.591881262</v>
      </c>
      <c r="I225" s="40">
        <f t="shared" si="15"/>
        <v>652.648758298159</v>
      </c>
      <c r="J225" s="40">
        <f t="shared" si="15"/>
        <v>10.1221774821845</v>
      </c>
      <c r="K225" s="40">
        <f t="shared" si="15"/>
        <v>31</v>
      </c>
      <c r="L225" s="40">
        <f t="shared" si="15"/>
        <v>4</v>
      </c>
      <c r="M225" s="40">
        <f t="shared" si="15"/>
        <v>28.4661534162694</v>
      </c>
      <c r="N225" s="40">
        <f t="shared" si="15"/>
        <v>33.6954337879418</v>
      </c>
      <c r="O225" s="40">
        <f t="shared" si="15"/>
        <v>7.5</v>
      </c>
      <c r="P225" s="40">
        <f t="shared" si="15"/>
        <v>51.9070682389623</v>
      </c>
      <c r="Q225" s="40">
        <f t="shared" si="15"/>
        <v>0.0045</v>
      </c>
      <c r="R225" s="40">
        <f t="shared" si="15"/>
        <v>0.199040747275698</v>
      </c>
      <c r="S225" s="40">
        <f t="shared" si="15"/>
        <v>3.75283995861053</v>
      </c>
      <c r="T225" s="40">
        <f t="shared" si="15"/>
        <v>0.0506676364106415</v>
      </c>
      <c r="U225" s="40">
        <f t="shared" si="15"/>
        <v>35.0388280883162</v>
      </c>
      <c r="V225" s="40">
        <f t="shared" si="15"/>
        <v>0.506121134760858</v>
      </c>
      <c r="W225" s="40">
        <f t="shared" si="15"/>
        <v>0.026960486985402</v>
      </c>
      <c r="X225" s="40">
        <f t="shared" si="15"/>
        <v>1.33466729175065</v>
      </c>
      <c r="Y225" s="40">
        <f t="shared" si="15"/>
        <v>0.0187911677998275</v>
      </c>
      <c r="Z225" s="40">
        <f t="shared" si="15"/>
        <v>1.8702201537694</v>
      </c>
    </row>
    <row r="226" spans="1:1">
      <c r="A226" s="42" t="s">
        <v>285</v>
      </c>
    </row>
  </sheetData>
  <mergeCells count="59">
    <mergeCell ref="A4:A6"/>
    <mergeCell ref="A7:A119"/>
    <mergeCell ref="A120:A224"/>
    <mergeCell ref="B4:B6"/>
    <mergeCell ref="B7:B16"/>
    <mergeCell ref="B17:B26"/>
    <mergeCell ref="B27:B37"/>
    <mergeCell ref="B38:B45"/>
    <mergeCell ref="B46:B56"/>
    <mergeCell ref="B57:B66"/>
    <mergeCell ref="B67:B81"/>
    <mergeCell ref="B82:B93"/>
    <mergeCell ref="B94:B97"/>
    <mergeCell ref="B98:B103"/>
    <mergeCell ref="B104:B110"/>
    <mergeCell ref="B111:B119"/>
    <mergeCell ref="B120:B127"/>
    <mergeCell ref="B129:B135"/>
    <mergeCell ref="B137:B140"/>
    <mergeCell ref="B142:B148"/>
    <mergeCell ref="B150:B156"/>
    <mergeCell ref="B158:B166"/>
    <mergeCell ref="B168:B171"/>
    <mergeCell ref="B173:B178"/>
    <mergeCell ref="B180:B187"/>
    <mergeCell ref="B189:B194"/>
    <mergeCell ref="B196:B202"/>
    <mergeCell ref="B204:B207"/>
    <mergeCell ref="B209:B211"/>
    <mergeCell ref="B213:B219"/>
    <mergeCell ref="B221:B224"/>
    <mergeCell ref="C4:C6"/>
    <mergeCell ref="C7:C16"/>
    <mergeCell ref="C17:C26"/>
    <mergeCell ref="C27:C37"/>
    <mergeCell ref="C38:C45"/>
    <mergeCell ref="C46:C56"/>
    <mergeCell ref="C57:C66"/>
    <mergeCell ref="C67:C81"/>
    <mergeCell ref="C82:C93"/>
    <mergeCell ref="C94:C97"/>
    <mergeCell ref="C98:C103"/>
    <mergeCell ref="C104:C110"/>
    <mergeCell ref="C111:C119"/>
    <mergeCell ref="C120:C127"/>
    <mergeCell ref="C129:C135"/>
    <mergeCell ref="C137:C140"/>
    <mergeCell ref="C142:C148"/>
    <mergeCell ref="C150:C156"/>
    <mergeCell ref="C158:C166"/>
    <mergeCell ref="C168:C171"/>
    <mergeCell ref="C173:C178"/>
    <mergeCell ref="C180:C187"/>
    <mergeCell ref="C189:C194"/>
    <mergeCell ref="C196:C202"/>
    <mergeCell ref="C204:C207"/>
    <mergeCell ref="C209:C211"/>
    <mergeCell ref="C213:C219"/>
    <mergeCell ref="C221:C224"/>
  </mergeCells>
  <conditionalFormatting sqref="S1:S127 S129:S135 S137:S140 S142:S148 S150:S156 S158:S166 S168:S171 S173:S178 S180:S187 S189:S194 S196:S202 S204:S207 S209:S211 S213:S219 S221:S224 S226:S1048576">
    <cfRule type="cellIs" dxfId="0" priority="1" operator="equal">
      <formula>0.078</formula>
    </cfRule>
  </conditionalFormatting>
  <conditionalFormatting sqref="H7:H135 I128:Z128 F128:G128 H137:H140 H142:H148 H150:H156 H158:H166 H168:H171 H173:H178 H180:H187 H189:H194 H196:H202 H204:H207 H209:H211 H213:H219 H221:H224">
    <cfRule type="cellIs" dxfId="0" priority="11" operator="equal">
      <formula>0.134</formula>
    </cfRule>
    <cfRule type="cellIs" priority="12" operator="equal">
      <formula>0.134</formula>
    </cfRule>
  </conditionalFormatting>
  <conditionalFormatting sqref="F7:F127 F129:F225 G136:Z136 G141:Z141 G149:Z149 G157:Z157 G167:Z167 G172:Z172 G179:Z179 G188:Z188 G195:Z195 G203:Z203 G208:Z208 G212:Z212 G220:Z220 G225:Z225">
    <cfRule type="cellIs" dxfId="0" priority="2" operator="equal">
      <formula>0.018</formula>
    </cfRule>
  </conditionalFormatting>
  <conditionalFormatting sqref="I7:I127 I129:I135 I137:I140 I142:I148 I150:I156 I158:I166 I168:I171 I173:I178 I180:I187 I189:I194 I196:I202 I204:I207 I209:I211 I213:I219 I221:I224">
    <cfRule type="cellIs" dxfId="0" priority="10" operator="equal">
      <formula>0.3815</formula>
    </cfRule>
  </conditionalFormatting>
  <conditionalFormatting sqref="J7:J127 P7:P127 P129:P135 J129:J135 J137:J140 P137:P140 P142:P148 J142:J148 J150:J156 P150:P156 P158:P166 J158:J166 J168:J171 P168:P171 P173:P178 J173:J178 J180:J187 P180:P187 P189:P194 J189:J194 J196:J202 P196:P202 P204:P207 J204:J207 J209:J211 P209:P211 P213:P219 J213:J219 J221:J224 P221:P224">
    <cfRule type="cellIs" dxfId="0" priority="9" operator="equal">
      <formula>6</formula>
    </cfRule>
  </conditionalFormatting>
  <conditionalFormatting sqref="K7:K127 K129:K135 K137:K140 K142:K148 K150:K156 K158:K166 K168:K171 K173:K178 K180:K187 K189:K194 K196:K202 K204:K207 K209:K211 K213:K219 K221:K224">
    <cfRule type="cellIs" dxfId="0" priority="8" operator="equal">
      <formula>31</formula>
    </cfRule>
  </conditionalFormatting>
  <conditionalFormatting sqref="L7:L127 L129:L135 L137:L140 L142:L148 L150:L156 L158:L166 L168:L171 L173:L178 L180:L187 L189:L194 L196:L202 L204:L207 L209:L211 L213:L219 L221:L224">
    <cfRule type="cellIs" dxfId="0" priority="7" operator="equal">
      <formula>4</formula>
    </cfRule>
  </conditionalFormatting>
  <conditionalFormatting sqref="M7:M127 M129:M135 M137:M140 M142:M148 M150:M156 M158:M166 M168:M171 M173:M178 M180:M187 M189:M194 M196:M202 M204:M207 M209:M211 M213:M219 M221:M224">
    <cfRule type="cellIs" dxfId="0" priority="6" operator="lessThan">
      <formula>12</formula>
    </cfRule>
  </conditionalFormatting>
  <conditionalFormatting sqref="N7:N127 N129:N135 N137:N140 N142:N148 N150:N156 N158:N166 N168:N171 N173:N178 N180:N187 N189:N194 N196:N202 N204:N207 N209:N211 N213:N219 N221:N224">
    <cfRule type="cellIs" dxfId="0" priority="5" operator="equal">
      <formula>4.5</formula>
    </cfRule>
  </conditionalFormatting>
  <conditionalFormatting sqref="O7:O127 O129:O135 O137:O140 O142:O148 O150:O156 O158:O166 O168:O171 O173:O178 O180:O187 O189:O194 O196:O202 O204:O207 O209:O211 O213:O219 O221:O224">
    <cfRule type="cellIs" dxfId="0" priority="4" operator="equal">
      <formula>7.5</formula>
    </cfRule>
  </conditionalFormatting>
  <conditionalFormatting sqref="Q7:Q127 Q129:Q135 Q137:Q140 Q142:Q148 Q150:Q156 Q158:Q166 Q168:Q171 Q173:Q178 Q180:Q187 Q189:Q194 Q196:Q202 Q204:Q207 Q209:Q211 Q213:Q219 Q221:Q224">
    <cfRule type="cellIs" dxfId="0" priority="3" operator="equal">
      <formula>0.0045</formula>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Table S1</vt:lpstr>
      <vt:lpstr>Table S2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Qing-Lin</dc:creator>
  <cp:lastModifiedBy>企业用户_668958984</cp:lastModifiedBy>
  <dcterms:created xsi:type="dcterms:W3CDTF">2021-04-29T10:32:00Z</dcterms:created>
  <dcterms:modified xsi:type="dcterms:W3CDTF">2024-09-26T00:31:49Z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2052-12.1.0.17827</vt:lpwstr>
  </property>
  <property fmtid="{D5CDD505-2E9C-101B-9397-08002B2CF9AE}" pid="3" name="ICV">
    <vt:lpwstr>22BF9A8B419D4F28AAC1DE0A770234ED_12</vt:lpwstr>
  </property>
</Properties>
</file>